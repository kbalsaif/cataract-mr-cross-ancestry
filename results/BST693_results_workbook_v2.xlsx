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README" sheetId="1" state="visible" r:id="rId3"/>
    <sheet name="Main results" sheetId="2" state="visible" r:id="rId4"/>
    <sheet name="All methods" sheetId="3" state="visible" r:id="rId5"/>
    <sheet name="Secondary exposures" sheetId="4" state="visible" r:id="rId6"/>
    <sheet name="Heterogeneity" sheetId="5" state="visible" r:id="rId7"/>
    <sheet name="Egger intercept" sheetId="6" state="visible" r:id="rId8"/>
    <sheet name="MR-PRESSO" sheetId="7" state="visible" r:id="rId9"/>
    <sheet name="Leave-one-out" sheetId="8" state="visible" r:id="rId10"/>
    <sheet name="Steiger" sheetId="9" state="visible" r:id="rId11"/>
    <sheet name="Transferability" sheetId="10" state="visible" r:id="rId12"/>
    <sheet name="Cross-ancestry" sheetId="11" state="visible" r:id="rId13"/>
    <sheet name="Power" sheetId="12" state="visible" r:id="rId14"/>
    <sheet name="UKB log-odds" sheetId="13" state="visible" r:id="rId15"/>
    <sheet name="EAS-arm sensitivity" sheetId="14" state="visible" r:id="rId16"/>
    <sheet name="MVMR" sheetId="15" state="visible" r:id="rId17"/>
    <sheet name="EAS instruments" sheetId="16" state="visible" r:id="rId18"/>
  </sheets>
  <definedNames>
    <definedName function="false" hidden="true" localSheetId="2" name="_xlnm._FilterDatabase" vbProcedure="false">'All methods'!$A$1:$N$433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<sst xmlns="http://schemas.openxmlformats.org/spreadsheetml/2006/main" count="11723" uniqueCount="909">
  <si>
    <t xml:space="preserve">BST 693 Applied Project</t>
  </si>
  <si>
    <t xml:space="preserve">Cross-ancestry two-sample Mendelian randomization: T2D and BMI -&gt; cataract. Khalid Alsaif, advisor Dr. Zhongxue Chen, ASU.</t>
  </si>
  <si>
    <t xml:space="preserve">SHEETS</t>
  </si>
  <si>
    <t xml:space="preserve">Main results</t>
  </si>
  <si>
    <t xml:space="preserve">The 8 pre-specified pairs (T2D, BMI x 4 outcomes) with the main estimate and every sensitivity statistic side by side.</t>
  </si>
  <si>
    <t xml:space="preserve">All methods</t>
  </si>
  <si>
    <t xml:space="preserve">Every method in mr_method_list() for all 24 exposure-outcome pairs (432 rows). See the 'Note' column before combining rows.</t>
  </si>
  <si>
    <t xml:space="preserve">Secondary exposures</t>
  </si>
  <si>
    <t xml:space="preserve">IVW results for systolic BP, diastolic BP, alcohol and smoking initiation (exploratory; not adjusted for multiple testing).</t>
  </si>
  <si>
    <t xml:space="preserve">Heterogeneity</t>
  </si>
  <si>
    <t xml:space="preserve">Cochran's Q for IVW and MR Egger, all 24 pairs.</t>
  </si>
  <si>
    <t xml:space="preserve">Egger intercept</t>
  </si>
  <si>
    <t xml:space="preserve">MR Egger intercept test for directional pleiotropy, all 24 pairs.</t>
  </si>
  <si>
    <t xml:space="preserve">MR-PRESSO</t>
  </si>
  <si>
    <t xml:space="preserve">Global test, outlier count, outlier-corrected estimate and distortion test for the 8 main pairs; outlier SNPs listed below.</t>
  </si>
  <si>
    <t xml:space="preserve">Leave-one-out</t>
  </si>
  <si>
    <t xml:space="preserve">Summary per main pair, plus the full leave-one-out table (one row per dropped SNP).</t>
  </si>
  <si>
    <t xml:space="preserve">Steiger</t>
  </si>
  <si>
    <t xml:space="preserve">Direction test for the 8 main pairs; sensitivity over assumed prevalences.</t>
  </si>
  <si>
    <t xml:space="preserve">Cross-ancestry</t>
  </si>
  <si>
    <t xml:space="preserve">Biobank Japan vs each log-odds European outcome, every method with an SE; plus IVW comparison rescaled by the transferability slopes.</t>
  </si>
  <si>
    <t xml:space="preserve">EAS-arm sensitivity</t>
  </si>
  <si>
    <t xml:space="preserve">Checks specific to using European instruments in Biobank Japan, the transferability-restricted comparison and the East Asian-scale estimates (script 07).</t>
  </si>
  <si>
    <t xml:space="preserve">EAS instruments</t>
  </si>
  <si>
    <t xml:space="preserve">T2D -&gt; Biobank Japan cataract with East Asian-discovered instruments (Zhang 2022 design), and the like-for-like comparison table (script 10).</t>
  </si>
  <si>
    <t xml:space="preserve">MVMR</t>
  </si>
  <si>
    <t xml:space="preserve">Multivariable MR of T2D and BMI together in every outcome, with conditional F (scripts 08-09).</t>
  </si>
  <si>
    <t xml:space="preserve">Power</t>
  </si>
  <si>
    <t xml:space="preserve">Power for each outcome at several effect sizes and the minimum detectable OR at 80% power (script 06).</t>
  </si>
  <si>
    <t xml:space="preserve">UKB log-odds</t>
  </si>
  <si>
    <t xml:space="preserve">The UKB linear-scale IVW estimates converted to the log-odds scale so they can be compared with FinnGen (approximate; script 06).</t>
  </si>
  <si>
    <t xml:space="preserve">Transferability</t>
  </si>
  <si>
    <t xml:space="preserve">European instruments regressed on the same trait measured in East Asians (from 05_transferability.R).</t>
  </si>
  <si>
    <t xml:space="preserve">SCALES</t>
  </si>
  <si>
    <t xml:space="preserve">Exposure T2D: log odds. BMI: 1 SD (both BMI GWAS in SD units, checked from the SEs). SBP and DBP: mmHg (Evangelou 2018; implied SD 18.3 and 10.6 from the SEs; the paper reports per 10 mmHg). Alcohol: 1 SD of log drinks/week. Smoking initiation: log odds. Outcomes bbj-a-94, FinnGen, Sakaue: log odds of cataract (OR = exp(b)). UKB ukb-d-20002_1278: LINEAR-model betas on a 0/1 outcome -&gt; no OR; only p-values comparable.</t>
  </si>
  <si>
    <t xml:space="preserve">DATASETS</t>
  </si>
  <si>
    <t xml:space="preserve">T2D ebi-a-GCST006867 (European; 61,714 cases / 593,952 controls, N 655,666 - the OpenGWAS ncontrol field reads 1,178, an entry error; corrected from N - cases). Source: Xue A et al. 2018, Nat Commun, PMID 30054458 (DIAGRAM + GERA + UK Biobank; 61,714 European cases / 593,952 European controls, plus 1,178 / 2,472 Pakistani; the OpenGWAS ncontrol field holds the Pakistani case count). Includes UK Biobank, so it overlaps the UKB and Sakaue outcomes; FinnGen is the only fully independent European outcome.</t>
  </si>
  <si>
    <t xml:space="preserve">BMI ieu-b-40 (Yengo 2018, N 681,275). SBP ieu-b-38, DBP ieu-b-39 (Evangelou 2018). Alcohol ieu-b-73, smoking ieu-b-4877 (GSCAN, Liu 2019).</t>
  </si>
  <si>
    <t xml:space="preserve">Cataract: bbj-a-94 Biobank Japan 24,622 / 187,831 (Ishigaki et al.: physician-diagnosed cataract of any type in a hospital-based registry of 47 target diseases; controls = BBJ patients without related diagnoses plus population-based cohorts; SAIGE mixed model, age, sex, 5 PCs); ukb-d-20002_1278 UKB self-report 5,045 / 356,096; finn-b-H7_CATARACTSENILE FinnGen R5 26,758 / 189,604 (N 216,362, filled from cases + controls); ebi-a-GCST90018814 Sakaue 2021 39,519 / 452,358 (includes UKB -&gt; overlaps exposure GWAS; secondary).</t>
  </si>
  <si>
    <t xml:space="preserve">Transferability: bbj-a-153 T2D BBJ (Ishigaki 2019; 40,250 / 170,615); ebi-a-GCST010118 T2D East Asian meta (Spracklen 2020; 77,418 / 356,122); bbj-a-1 BMI BBJ (Ishigaki 2019; N 158,284).</t>
  </si>
  <si>
    <t xml:space="preserve">PREVALENCE (Steiger)</t>
  </si>
  <si>
    <t xml:space="preserve">T2D 9.2% = IDF Diabetes Atlas 2021, Europe region, adults 20-79 (Sun et al. 2022, Diabetes Res Clin Pract 183:109119, Table 3). Cataract 17.2% = global age-standardised pooled prevalence of any cataract (Hashemi et al. 2020, Eye 34:1357-70). Result unchanged across the sensitivity grid.</t>
  </si>
  <si>
    <t xml:space="preserve">CAVEATS</t>
  </si>
  <si>
    <t xml:space="preserve">1. Sign concordance test is not an effect estimate. 2. Unweighted regression SE is inflated by the package formula. 3. IVW, IVW-MRE and IVW radial are the same estimate; IVW-FE same estimate with smaller SE; mode and mode-NOME pairs share estimates. About 12 of the 18 rows per pair are distinct point estimates. 4. All methods use the same SNPs, so their estimates are correlated - a combination must account for this. 5. 64 cross-ancestry comparisons were run; they are not independent.</t>
  </si>
  <si>
    <t xml:space="preserve">SUMMARY</t>
  </si>
  <si>
    <t xml:space="preserve">T2D and BMI raise cataract risk in East Asians and in Europeans once the European outcome is adequately powered (weak only in the 5,045-case UKB dataset: T2D p = 0.03 and fragile in leave-one-out, BMI p = 0.14). Point estimates are larger in East Asians. On the common European scale the primary IVW comparison is not significant; on a like-for-like scale (instruments with genome-wide significant East Asian T2D effects, or East Asian SNP-T2D effects as denominators) the T2D effect is larger in East Asians (0.17-0.19 vs 0.09 per unit log-odds; OR 1.18-1.21 vs 1.09; p 0.007 to 0.0001 across four analyses, including East Asian-discovered instruments), sensitivity findings that were not pre-specified. Zhang 2022's ~1.10 is on the liability scale and is not comparable. No BMI difference is evident, and multivariable MR shows the BMI effect runs largely through T2D in both ancestries. Instrument attenuation in East Asians (slopes 0.82 T2D, 0.59 BMI) biases the East Asian estimates toward the null, not away from it.</t>
  </si>
  <si>
    <t xml:space="preserve">Exposure</t>
  </si>
  <si>
    <t xml:space="preserve">Outcome</t>
  </si>
  <si>
    <t xml:space="preserve">Outcome ID</t>
  </si>
  <si>
    <t xml:space="preserve">N SNPs</t>
  </si>
  <si>
    <t xml:space="preserve">IVW b</t>
  </si>
  <si>
    <t xml:space="preserve">IVW SE</t>
  </si>
  <si>
    <t xml:space="preserve">IVW p</t>
  </si>
  <si>
    <t xml:space="preserve">OR</t>
  </si>
  <si>
    <t xml:space="preserve">OR 95% low</t>
  </si>
  <si>
    <t xml:space="preserve">OR 95% high</t>
  </si>
  <si>
    <t xml:space="preserve">Weighted median b</t>
  </si>
  <si>
    <t xml:space="preserve">WM p</t>
  </si>
  <si>
    <t xml:space="preserve">MR Egger b</t>
  </si>
  <si>
    <t xml:space="preserve">Egger p</t>
  </si>
  <si>
    <t xml:space="preserve">Intercept p</t>
  </si>
  <si>
    <t xml:space="preserve">Cochran Q p (IVW)</t>
  </si>
  <si>
    <t xml:space="preserve">MR-PRESSO global p</t>
  </si>
  <si>
    <t xml:space="preserve">Outliers</t>
  </si>
  <si>
    <t xml:space="preserve">PRESSO corrected b</t>
  </si>
  <si>
    <t xml:space="preserve">Corrected p</t>
  </si>
  <si>
    <t xml:space="preserve">Distortion p</t>
  </si>
  <si>
    <t xml:space="preserve">LOO min b</t>
  </si>
  <si>
    <t xml:space="preserve">LOO max b</t>
  </si>
  <si>
    <t xml:space="preserve">LOO max p</t>
  </si>
  <si>
    <t xml:space="preserve">Steiger direction</t>
  </si>
  <si>
    <t xml:space="preserve">r2 exposure</t>
  </si>
  <si>
    <t xml:space="preserve">r2 outcome</t>
  </si>
  <si>
    <t xml:space="preserve">Scale</t>
  </si>
  <si>
    <t xml:space="preserve">Type 2 diabetes</t>
  </si>
  <si>
    <t xml:space="preserve">Biobank Japan (East Asian)</t>
  </si>
  <si>
    <t xml:space="preserve">bbj-a-94</t>
  </si>
  <si>
    <t xml:space="preserve">exposure -&gt; cataract</t>
  </si>
  <si>
    <t xml:space="preserve">log odds</t>
  </si>
  <si>
    <t xml:space="preserve">UK Biobank self-report (European)</t>
  </si>
  <si>
    <t xml:space="preserve">ukb-d-20002_1278</t>
  </si>
  <si>
    <t xml:space="preserve">n/a</t>
  </si>
  <si>
    <t xml:space="preserve">linear (p only)</t>
  </si>
  <si>
    <t xml:space="preserve">FinnGen R5 senile cataract (European)</t>
  </si>
  <si>
    <t xml:space="preserve">finn-b-H7_CATARACTSENILE</t>
  </si>
  <si>
    <t xml:space="preserve">&lt;0.00025</t>
  </si>
  <si>
    <t xml:space="preserve">Sakaue 2021 (European)</t>
  </si>
  <si>
    <t xml:space="preserve">ebi-a-GCST90018814</t>
  </si>
  <si>
    <t xml:space="preserve">BMI</t>
  </si>
  <si>
    <t xml:space="preserve">&lt;9.1e-05</t>
  </si>
  <si>
    <t xml:space="preserve">OR and CI are formulas: EXP(b), EXP(b +/- 1.96 SE). 'n/a' for UKB (linear-scale betas). MR-PRESSO global p '&lt;0.00025' or '&lt;9.1e-05' means below the simulation floor (1/NbDistribution). PRESSO corrected b is blank where no outliers were found.</t>
  </si>
  <si>
    <t xml:space="preserve">T2D -&gt; FinnGen: IVW-family methods significant; weighted median p = 0.057, Egger p = 0.44, modes p = 0.17-0.46 (same direction). This pair is supported by IVW but not individually by the robust estimators.</t>
  </si>
  <si>
    <t xml:space="preserve">Bonferroni: 8 main tests -&gt; p &lt; 0.00625; all 24 pairs -&gt; p &lt; 0.0021. BMI -&gt; FinnGen (p = 0.0031) passes the first, not the second.</t>
  </si>
  <si>
    <t xml:space="preserve">Exposure ID</t>
  </si>
  <si>
    <t xml:space="preserve">Method</t>
  </si>
  <si>
    <t xml:space="preserve">b</t>
  </si>
  <si>
    <t xml:space="preserve">SE</t>
  </si>
  <si>
    <t xml:space="preserve">p</t>
  </si>
  <si>
    <t xml:space="preserve">Note</t>
  </si>
  <si>
    <t xml:space="preserve">ebi-a-GCST006867</t>
  </si>
  <si>
    <t xml:space="preserve">Inverse variance weighted</t>
  </si>
  <si>
    <t xml:space="preserve">Inverse variance weighted (multiplicative random effects)</t>
  </si>
  <si>
    <t xml:space="preserve">Identical to IVW row (IVW already uses multiplicative random effects when Q &gt; df).</t>
  </si>
  <si>
    <t xml:space="preserve">Inverse variance weighted (fixed effects)</t>
  </si>
  <si>
    <t xml:space="preserve">Same estimate as IVW; smaller SE.</t>
  </si>
  <si>
    <t xml:space="preserve">IVW radial</t>
  </si>
  <si>
    <t xml:space="preserve">Same estimate as IVW to 4 decimals.</t>
  </si>
  <si>
    <t xml:space="preserve">Maximum likelihood</t>
  </si>
  <si>
    <t xml:space="preserve">MR Egger</t>
  </si>
  <si>
    <t xml:space="preserve">MR Egger (bootstrap)</t>
  </si>
  <si>
    <t xml:space="preserve">p = 0 means &lt; 1/1000 (bootstrap floor).</t>
  </si>
  <si>
    <t xml:space="preserve">Simple median</t>
  </si>
  <si>
    <t xml:space="preserve">Weighted median</t>
  </si>
  <si>
    <t xml:space="preserve">Penalised weighted median</t>
  </si>
  <si>
    <t xml:space="preserve">Simple mode</t>
  </si>
  <si>
    <t xml:space="preserve">Simple mode (NOME)</t>
  </si>
  <si>
    <t xml:space="preserve">Same estimate as Simple mode; different SE.</t>
  </si>
  <si>
    <t xml:space="preserve">Weighted mode</t>
  </si>
  <si>
    <t xml:space="preserve">Weighted mode (NOME)</t>
  </si>
  <si>
    <t xml:space="preserve">Same estimate as Weighted mode; different SE.</t>
  </si>
  <si>
    <t xml:space="preserve">Robust adjusted profile score (RAPS)</t>
  </si>
  <si>
    <t xml:space="preserve">MR GRIP</t>
  </si>
  <si>
    <t xml:space="preserve">Unweighted regression</t>
  </si>
  <si>
    <t xml:space="preserve">SE inflated by the package formula (se / min(1, sigma)); p uninformative. Point estimate only.</t>
  </si>
  <si>
    <t xml:space="preserve">Sign concordance test</t>
  </si>
  <si>
    <t xml:space="preserve">Not an effect estimate (b is a rescaled proportion of concordant SNPs; no SE). Do not combine.</t>
  </si>
  <si>
    <t xml:space="preserve">ieu-b-40</t>
  </si>
  <si>
    <t xml:space="preserve">Systolic BP</t>
  </si>
  <si>
    <t xml:space="preserve">ieu-b-38</t>
  </si>
  <si>
    <t xml:space="preserve">Diastolic BP</t>
  </si>
  <si>
    <t xml:space="preserve">ieu-b-39</t>
  </si>
  <si>
    <t xml:space="preserve">Alcohol (drinks/week)</t>
  </si>
  <si>
    <t xml:space="preserve">ieu-b-73</t>
  </si>
  <si>
    <t xml:space="preserve">Smoking initiation</t>
  </si>
  <si>
    <t xml:space="preserve">ieu-b-4877</t>
  </si>
  <si>
    <t xml:space="preserve">OR per unit</t>
  </si>
  <si>
    <t xml:space="preserve">Cochran Q p</t>
  </si>
  <si>
    <t xml:space="preserve">Egger intercept p</t>
  </si>
  <si>
    <t xml:space="preserve">Weighted median p</t>
  </si>
  <si>
    <t xml:space="preserve">Scale / unit</t>
  </si>
  <si>
    <t xml:space="preserve">log odds; per 1 mmHg SBP</t>
  </si>
  <si>
    <t xml:space="preserve">linear (p only); per 1 mmHg SBP</t>
  </si>
  <si>
    <t xml:space="preserve">log odds; per 1 mmHg DBP</t>
  </si>
  <si>
    <t xml:space="preserve">linear (p only); per 1 mmHg DBP</t>
  </si>
  <si>
    <t xml:space="preserve">log odds; per 1 SD log drinks/week</t>
  </si>
  <si>
    <t xml:space="preserve">linear (p only); per 1 SD log drinks/week</t>
  </si>
  <si>
    <t xml:space="preserve">log odds; per log odds of initiation</t>
  </si>
  <si>
    <t xml:space="preserve">linear (p only); per log odds of initiation</t>
  </si>
  <si>
    <t xml:space="preserve">Exploratory. None survives Bonferroni across 24 pairs (p &lt; 0.0021). UKB and Sakaue overlap the BP and alcohol exposure GWAS (sample overlap). Diastolic BP is inversely associated in three outcomes but flat in FinnGen; alcohol is inconsistent across outcomes; smoking and systolic BP are null.</t>
  </si>
  <si>
    <t xml:space="preserve">Units: the blood pressure GWAS (ieu-b-38, ieu-b-39; Evangelou 2018) report effects per mmHg, not per SD (implied trait SD from the instrument SEs: 18.3 for SBP, 10.6 for DBP). Multiply b and SE by 10 for the per-10 mmHg odds ratios used in the paper. Alcohol is per SD of log drinks/week (implied SD 1.0); smoking initiation per unit log-odds.</t>
  </si>
  <si>
    <t xml:space="preserve">Q</t>
  </si>
  <si>
    <t xml:space="preserve">Q df</t>
  </si>
  <si>
    <t xml:space="preserve">Q p</t>
  </si>
  <si>
    <t xml:space="preserve">Cochran's Q from mr_heterogeneity() on the harmonised data used for the estimates. Significant heterogeneity in almost every pair with a large outcome; IVW is reported with multiplicative random effects. The 'Q-Statistic' printed by the radial IVW method during the run is a different statistic; the values here are Cochran's Q.</t>
  </si>
  <si>
    <t xml:space="preserve">Intercept differing from zero suggests directional pleiotropy. Only T2D -&gt; Biobank Japan (p = 0.040) and smoking -&gt; Biobank Japan (p = 0.049) are below 0.05; both borderline, and about one such result is expected by chance in 24 tests. All European T2D and BMI pairs are clean (p 0.15-0.98).</t>
  </si>
  <si>
    <t xml:space="preserve">Raw b</t>
  </si>
  <si>
    <t xml:space="preserve">Raw SE</t>
  </si>
  <si>
    <t xml:space="preserve">Raw p</t>
  </si>
  <si>
    <t xml:space="preserve">Global test p</t>
  </si>
  <si>
    <t xml:space="preserve">Corrected b</t>
  </si>
  <si>
    <t xml:space="preserve">Corrected SE</t>
  </si>
  <si>
    <t xml:space="preserve">NbDistribution: 4,000 for T2D pairs, 11,000 for BMI pairs (&gt;= n SNPs / 0.05). Raw p uses a t-distribution (MR-PRESSO) so differs slightly from the IVW p. '&lt;' values are below the simulation floor. Where outliers were found, removal changed b by at most 7% and all distortion p &gt; 0.5.</t>
  </si>
  <si>
    <t xml:space="preserve">Outlier SNPs removed by MR-PRESSO</t>
  </si>
  <si>
    <t xml:space="preserve">Exposure -&gt; outcome</t>
  </si>
  <si>
    <t xml:space="preserve">SNP</t>
  </si>
  <si>
    <t xml:space="preserve">Chr:position (GRCh38)</t>
  </si>
  <si>
    <t xml:space="preserve">Gene (dbSNP)</t>
  </si>
  <si>
    <t xml:space="preserve">Comment</t>
  </si>
  <si>
    <t xml:space="preserve">T2D -&gt; Biobank Japan</t>
  </si>
  <si>
    <t xml:space="preserve">rs10087241</t>
  </si>
  <si>
    <t xml:space="preserve">8:31006206</t>
  </si>
  <si>
    <t xml:space="preserve">PURG</t>
  </si>
  <si>
    <t xml:space="preserve">T2D -&gt; Sakaue</t>
  </si>
  <si>
    <t xml:space="preserve">rs1063355</t>
  </si>
  <si>
    <t xml:space="preserve">6:32659937</t>
  </si>
  <si>
    <t xml:space="preserve">HLA-DQB1</t>
  </si>
  <si>
    <t xml:space="preserve">HLA region, highly pleiotropic</t>
  </si>
  <si>
    <t xml:space="preserve">rs13330951</t>
  </si>
  <si>
    <t xml:space="preserve">16:69529939</t>
  </si>
  <si>
    <t xml:space="preserve">(none listed)</t>
  </si>
  <si>
    <t xml:space="preserve">~7 kb from rs889398; same locus flagged for BMI in the same outcome</t>
  </si>
  <si>
    <t xml:space="preserve">BMI -&gt; FinnGen</t>
  </si>
  <si>
    <t xml:space="preserve">rs9375702</t>
  </si>
  <si>
    <t xml:space="preserve">6:130063042</t>
  </si>
  <si>
    <t xml:space="preserve">L3MBTL3</t>
  </si>
  <si>
    <t xml:space="preserve">BMI -&gt; Sakaue</t>
  </si>
  <si>
    <t xml:space="preserve">rs7903146</t>
  </si>
  <si>
    <t xml:space="preserve">10:112998590</t>
  </si>
  <si>
    <t xml:space="preserve">TCF7L2</t>
  </si>
  <si>
    <t xml:space="preserve">Strongest known T2D locus; among the BMI instruments</t>
  </si>
  <si>
    <t xml:space="preserve">rs889398</t>
  </si>
  <si>
    <t xml:space="preserve">16:69522812</t>
  </si>
  <si>
    <t xml:space="preserve">LOC105371325</t>
  </si>
  <si>
    <t xml:space="preserve">~7 kb from rs13330951</t>
  </si>
  <si>
    <t xml:space="preserve">Min b (dropping one SNP)</t>
  </si>
  <si>
    <t xml:space="preserve">Max b</t>
  </si>
  <si>
    <t xml:space="preserve">Max p</t>
  </si>
  <si>
    <t xml:space="preserve">SNP at max p</t>
  </si>
  <si>
    <t xml:space="preserve">rs10811661</t>
  </si>
  <si>
    <t xml:space="preserve">rs1552224</t>
  </si>
  <si>
    <t xml:space="preserve">rs17817449</t>
  </si>
  <si>
    <t xml:space="preserve">rs12641981</t>
  </si>
  <si>
    <t xml:space="preserve">IVW re-run dropping each SNP in turn. No single SNP drives any of the six informative pairs. T2D -&gt; UKB loses nominal significance when rs7903146 (TCF7L2) is dropped (p = 0.14) - expected for a 5,045-case dataset.</t>
  </si>
  <si>
    <t xml:space="preserve">Full leave-one-out table</t>
  </si>
  <si>
    <t xml:space="preserve">Dropped SNP</t>
  </si>
  <si>
    <t xml:space="preserve">rs10077431</t>
  </si>
  <si>
    <t xml:space="preserve">rs10100265</t>
  </si>
  <si>
    <t xml:space="preserve">rs10114341</t>
  </si>
  <si>
    <t xml:space="preserve">rs10401969</t>
  </si>
  <si>
    <t xml:space="preserve">rs1050226</t>
  </si>
  <si>
    <t xml:space="preserve">rs1061813</t>
  </si>
  <si>
    <t xml:space="preserve">rs10740322</t>
  </si>
  <si>
    <t xml:space="preserve">rs10842994</t>
  </si>
  <si>
    <t xml:space="preserve">rs10974438</t>
  </si>
  <si>
    <t xml:space="preserve">rs11098676</t>
  </si>
  <si>
    <t xml:space="preserve">rs11107116</t>
  </si>
  <si>
    <t xml:space="preserve">rs1111875</t>
  </si>
  <si>
    <t xml:space="preserve">rs11257655</t>
  </si>
  <si>
    <t xml:space="preserve">rs1127655</t>
  </si>
  <si>
    <t xml:space="preserve">rs11708067</t>
  </si>
  <si>
    <t xml:space="preserve">rs11925227</t>
  </si>
  <si>
    <t xml:space="preserve">rs11926707</t>
  </si>
  <si>
    <t xml:space="preserve">rs12088739</t>
  </si>
  <si>
    <t xml:space="preserve">rs12299509</t>
  </si>
  <si>
    <t xml:space="preserve">rs12617659</t>
  </si>
  <si>
    <t xml:space="preserve">rs12910825</t>
  </si>
  <si>
    <t xml:space="preserve">rs12945601</t>
  </si>
  <si>
    <t xml:space="preserve">rs12970134</t>
  </si>
  <si>
    <t xml:space="preserve">rs13239186</t>
  </si>
  <si>
    <t xml:space="preserve">rs13389219</t>
  </si>
  <si>
    <t xml:space="preserve">rs1359790</t>
  </si>
  <si>
    <t xml:space="preserve">rs1496653</t>
  </si>
  <si>
    <t xml:space="preserve">rs17086692</t>
  </si>
  <si>
    <t xml:space="preserve">rs17168486</t>
  </si>
  <si>
    <t xml:space="preserve">rs17405722</t>
  </si>
  <si>
    <t xml:space="preserve">rs17411031</t>
  </si>
  <si>
    <t xml:space="preserve">rs1758632</t>
  </si>
  <si>
    <t xml:space="preserve">rs17631783</t>
  </si>
  <si>
    <t xml:space="preserve">rs17791513</t>
  </si>
  <si>
    <t xml:space="preserve">rs1801214</t>
  </si>
  <si>
    <t xml:space="preserve">rs1899951</t>
  </si>
  <si>
    <t xml:space="preserve">rs2237892</t>
  </si>
  <si>
    <t xml:space="preserve">rs2246618</t>
  </si>
  <si>
    <t xml:space="preserve">rs2261181</t>
  </si>
  <si>
    <t xml:space="preserve">rs2294120</t>
  </si>
  <si>
    <t xml:space="preserve">rs2296173</t>
  </si>
  <si>
    <t xml:space="preserve">rs2299383</t>
  </si>
  <si>
    <t xml:space="preserve">rs243019</t>
  </si>
  <si>
    <t xml:space="preserve">rs2493394</t>
  </si>
  <si>
    <t xml:space="preserve">rs2796441</t>
  </si>
  <si>
    <t xml:space="preserve">rs2820426</t>
  </si>
  <si>
    <t xml:space="preserve">rs2867125</t>
  </si>
  <si>
    <t xml:space="preserve">rs2908282</t>
  </si>
  <si>
    <t xml:space="preserve">rs2925979</t>
  </si>
  <si>
    <t xml:space="preserve">rs2943656</t>
  </si>
  <si>
    <t xml:space="preserve">rs3217992</t>
  </si>
  <si>
    <t xml:space="preserve">rs340874</t>
  </si>
  <si>
    <t xml:space="preserve">rs348330</t>
  </si>
  <si>
    <t xml:space="preserve">rs3756784</t>
  </si>
  <si>
    <t xml:space="preserve">rs3802177</t>
  </si>
  <si>
    <t xml:space="preserve">rs459193</t>
  </si>
  <si>
    <t xml:space="preserve">rs4622883</t>
  </si>
  <si>
    <t xml:space="preserve">rs4686471</t>
  </si>
  <si>
    <t xml:space="preserve">rs4812829</t>
  </si>
  <si>
    <t xml:space="preserve">rs4823182</t>
  </si>
  <si>
    <t xml:space="preserve">rs4865796</t>
  </si>
  <si>
    <t xml:space="preserve">rs516946</t>
  </si>
  <si>
    <t xml:space="preserve">rs5215</t>
  </si>
  <si>
    <t xml:space="preserve">rs55966194</t>
  </si>
  <si>
    <t xml:space="preserve">rs576674</t>
  </si>
  <si>
    <t xml:space="preserve">rs6059662</t>
  </si>
  <si>
    <t xml:space="preserve">rs622217</t>
  </si>
  <si>
    <t xml:space="preserve">rs6515236</t>
  </si>
  <si>
    <t xml:space="preserve">rs67232546</t>
  </si>
  <si>
    <t xml:space="preserve">rs6767484</t>
  </si>
  <si>
    <t xml:space="preserve">rs6785040</t>
  </si>
  <si>
    <t xml:space="preserve">rs6795735</t>
  </si>
  <si>
    <t xml:space="preserve">rs6878122</t>
  </si>
  <si>
    <t xml:space="preserve">rs6960043</t>
  </si>
  <si>
    <t xml:space="preserve">rs7177055</t>
  </si>
  <si>
    <t xml:space="preserve">rs7240767</t>
  </si>
  <si>
    <t xml:space="preserve">rs72802358</t>
  </si>
  <si>
    <t xml:space="preserve">rs72892910</t>
  </si>
  <si>
    <t xml:space="preserve">rs753270</t>
  </si>
  <si>
    <t xml:space="preserve">rs7561798</t>
  </si>
  <si>
    <t xml:space="preserve">rs7572970</t>
  </si>
  <si>
    <t xml:space="preserve">rs7607777</t>
  </si>
  <si>
    <t xml:space="preserve">rs7674212</t>
  </si>
  <si>
    <t xml:space="preserve">rs7685296</t>
  </si>
  <si>
    <t xml:space="preserve">rs7756992</t>
  </si>
  <si>
    <t xml:space="preserve">rs7786095</t>
  </si>
  <si>
    <t xml:space="preserve">rs780094</t>
  </si>
  <si>
    <t xml:space="preserve">rs7845219</t>
  </si>
  <si>
    <t xml:space="preserve">rs7929543</t>
  </si>
  <si>
    <t xml:space="preserve">rs7955901</t>
  </si>
  <si>
    <t xml:space="preserve">rs8068804</t>
  </si>
  <si>
    <t xml:space="preserve">rs8108269</t>
  </si>
  <si>
    <t xml:space="preserve">rs825476</t>
  </si>
  <si>
    <t xml:space="preserve">rs840967</t>
  </si>
  <si>
    <t xml:space="preserve">rs849135</t>
  </si>
  <si>
    <t xml:space="preserve">rs853974</t>
  </si>
  <si>
    <t xml:space="preserve">rs9369425</t>
  </si>
  <si>
    <t xml:space="preserve">rs9894220</t>
  </si>
  <si>
    <t xml:space="preserve">rs9928094</t>
  </si>
  <si>
    <t xml:space="preserve">rs993380</t>
  </si>
  <si>
    <t xml:space="preserve">rs9940149</t>
  </si>
  <si>
    <t xml:space="preserve">All</t>
  </si>
  <si>
    <t xml:space="preserve">rs10048652</t>
  </si>
  <si>
    <t xml:space="preserve">rs1006896</t>
  </si>
  <si>
    <t xml:space="preserve">rs10099330</t>
  </si>
  <si>
    <t xml:space="preserve">rs10118701</t>
  </si>
  <si>
    <t xml:space="preserve">rs10132280</t>
  </si>
  <si>
    <t xml:space="preserve">rs10163018</t>
  </si>
  <si>
    <t xml:space="preserve">rs10169594</t>
  </si>
  <si>
    <t xml:space="preserve">rs10182181</t>
  </si>
  <si>
    <t xml:space="preserve">rs1021066</t>
  </si>
  <si>
    <t xml:space="preserve">rs10211055</t>
  </si>
  <si>
    <t xml:space="preserve">rs10236214</t>
  </si>
  <si>
    <t xml:space="preserve">rs10247983</t>
  </si>
  <si>
    <t xml:space="preserve">rs10248136</t>
  </si>
  <si>
    <t xml:space="preserve">rs10269783</t>
  </si>
  <si>
    <t xml:space="preserve">rs1040101</t>
  </si>
  <si>
    <t xml:space="preserve">rs1048932</t>
  </si>
  <si>
    <t xml:space="preserve">rs10510419</t>
  </si>
  <si>
    <t xml:space="preserve">rs1064213</t>
  </si>
  <si>
    <t xml:space="preserve">rs10733051</t>
  </si>
  <si>
    <t xml:space="preserve">rs10742752</t>
  </si>
  <si>
    <t xml:space="preserve">rs10746862</t>
  </si>
  <si>
    <t xml:space="preserve">rs1075901</t>
  </si>
  <si>
    <t xml:space="preserve">rs10772983</t>
  </si>
  <si>
    <t xml:space="preserve">rs10777193</t>
  </si>
  <si>
    <t xml:space="preserve">rs10811871</t>
  </si>
  <si>
    <t xml:space="preserve">rs10840099</t>
  </si>
  <si>
    <t xml:space="preserve">rs10858334</t>
  </si>
  <si>
    <t xml:space="preserve">rs10867256</t>
  </si>
  <si>
    <t xml:space="preserve">rs10871781</t>
  </si>
  <si>
    <t xml:space="preserve">rs10876418</t>
  </si>
  <si>
    <t xml:space="preserve">rs10878946</t>
  </si>
  <si>
    <t xml:space="preserve">rs10894670</t>
  </si>
  <si>
    <t xml:space="preserve">rs10914462</t>
  </si>
  <si>
    <t xml:space="preserve">rs10915840</t>
  </si>
  <si>
    <t xml:space="preserve">rs10920678</t>
  </si>
  <si>
    <t xml:space="preserve">rs10927006</t>
  </si>
  <si>
    <t xml:space="preserve">rs10953740</t>
  </si>
  <si>
    <t xml:space="preserve">rs10962550</t>
  </si>
  <si>
    <t xml:space="preserve">rs10968114</t>
  </si>
  <si>
    <t xml:space="preserve">rs10971709</t>
  </si>
  <si>
    <t xml:space="preserve">rs11030104</t>
  </si>
  <si>
    <t xml:space="preserve">rs11044430</t>
  </si>
  <si>
    <t xml:space="preserve">rs11118308</t>
  </si>
  <si>
    <t xml:space="preserve">rs11150911</t>
  </si>
  <si>
    <t xml:space="preserve">rs11165493</t>
  </si>
  <si>
    <t xml:space="preserve">rs11173522</t>
  </si>
  <si>
    <t xml:space="preserve">rs11185111</t>
  </si>
  <si>
    <t xml:space="preserve">rs11251352</t>
  </si>
  <si>
    <t xml:space="preserve">rs11496125</t>
  </si>
  <si>
    <t xml:space="preserve">rs11505821</t>
  </si>
  <si>
    <t xml:space="preserve">rs11533200</t>
  </si>
  <si>
    <t xml:space="preserve">rs11538</t>
  </si>
  <si>
    <t xml:space="preserve">rs11544336</t>
  </si>
  <si>
    <t xml:space="preserve">rs1158805</t>
  </si>
  <si>
    <t xml:space="preserve">rs11611246</t>
  </si>
  <si>
    <t xml:space="preserve">rs11611496</t>
  </si>
  <si>
    <t xml:space="preserve">rs11633626</t>
  </si>
  <si>
    <t xml:space="preserve">rs11644598</t>
  </si>
  <si>
    <t xml:space="preserve">rs11650542</t>
  </si>
  <si>
    <t xml:space="preserve">rs11656076</t>
  </si>
  <si>
    <t xml:space="preserve">rs11668301</t>
  </si>
  <si>
    <t xml:space="preserve">rs11700187</t>
  </si>
  <si>
    <t xml:space="preserve">rs11713193</t>
  </si>
  <si>
    <t xml:space="preserve">rs11736228</t>
  </si>
  <si>
    <t xml:space="preserve">rs11739877</t>
  </si>
  <si>
    <t xml:space="preserve">rs11773362</t>
  </si>
  <si>
    <t xml:space="preserve">rs11783247</t>
  </si>
  <si>
    <t xml:space="preserve">rs1187352</t>
  </si>
  <si>
    <t xml:space="preserve">rs11874286</t>
  </si>
  <si>
    <t xml:space="preserve">rs11880870</t>
  </si>
  <si>
    <t xml:space="preserve">rs11889536</t>
  </si>
  <si>
    <t xml:space="preserve">rs11904490</t>
  </si>
  <si>
    <t xml:space="preserve">rs11945861</t>
  </si>
  <si>
    <t xml:space="preserve">rs11951673</t>
  </si>
  <si>
    <t xml:space="preserve">rs12033257</t>
  </si>
  <si>
    <t xml:space="preserve">rs12041258</t>
  </si>
  <si>
    <t xml:space="preserve">rs12044597</t>
  </si>
  <si>
    <t xml:space="preserve">rs12049202</t>
  </si>
  <si>
    <t xml:space="preserve">rs12098284</t>
  </si>
  <si>
    <t xml:space="preserve">rs1218822</t>
  </si>
  <si>
    <t xml:space="preserve">rs12328930</t>
  </si>
  <si>
    <t xml:space="preserve">rs12334877</t>
  </si>
  <si>
    <t xml:space="preserve">rs12364470</t>
  </si>
  <si>
    <t xml:space="preserve">rs12369179</t>
  </si>
  <si>
    <t xml:space="preserve">rs12416812</t>
  </si>
  <si>
    <t xml:space="preserve">rs1241986</t>
  </si>
  <si>
    <t xml:space="preserve">rs12429545</t>
  </si>
  <si>
    <t xml:space="preserve">rs12437457</t>
  </si>
  <si>
    <t xml:space="preserve">rs12439829</t>
  </si>
  <si>
    <t xml:space="preserve">rs12448257</t>
  </si>
  <si>
    <t xml:space="preserve">rs12448738</t>
  </si>
  <si>
    <t xml:space="preserve">rs12564992</t>
  </si>
  <si>
    <t xml:space="preserve">rs12587412</t>
  </si>
  <si>
    <t xml:space="preserve">rs12595749</t>
  </si>
  <si>
    <t xml:space="preserve">rs12602912</t>
  </si>
  <si>
    <t xml:space="preserve">rs1260326</t>
  </si>
  <si>
    <t xml:space="preserve">rs12608738</t>
  </si>
  <si>
    <t xml:space="preserve">rs1268070</t>
  </si>
  <si>
    <t xml:space="preserve">rs12680842</t>
  </si>
  <si>
    <t xml:space="preserve">rs12694050</t>
  </si>
  <si>
    <t xml:space="preserve">rs12718572</t>
  </si>
  <si>
    <t xml:space="preserve">rs12762034</t>
  </si>
  <si>
    <t xml:space="preserve">rs12779328</t>
  </si>
  <si>
    <t xml:space="preserve">rs12795042</t>
  </si>
  <si>
    <t xml:space="preserve">rs1285997</t>
  </si>
  <si>
    <t xml:space="preserve">rs12887636</t>
  </si>
  <si>
    <t xml:space="preserve">rs12888545</t>
  </si>
  <si>
    <t xml:space="preserve">rs12888955</t>
  </si>
  <si>
    <t xml:space="preserve">rs12899905</t>
  </si>
  <si>
    <t xml:space="preserve">rs12904761</t>
  </si>
  <si>
    <t xml:space="preserve">rs12922346</t>
  </si>
  <si>
    <t xml:space="preserve">rs12933482</t>
  </si>
  <si>
    <t xml:space="preserve">rs12936083</t>
  </si>
  <si>
    <t xml:space="preserve">rs12939549</t>
  </si>
  <si>
    <t xml:space="preserve">rs1296328</t>
  </si>
  <si>
    <t xml:space="preserve">rs12981256</t>
  </si>
  <si>
    <t xml:space="preserve">rs12998411</t>
  </si>
  <si>
    <t xml:space="preserve">rs13021737</t>
  </si>
  <si>
    <t xml:space="preserve">rs13047416</t>
  </si>
  <si>
    <t xml:space="preserve">rs13110266</t>
  </si>
  <si>
    <t xml:space="preserve">rs13147390</t>
  </si>
  <si>
    <t xml:space="preserve">rs13174863</t>
  </si>
  <si>
    <t xml:space="preserve">rs13191362</t>
  </si>
  <si>
    <t xml:space="preserve">rs1320903</t>
  </si>
  <si>
    <t xml:space="preserve">rs1321432</t>
  </si>
  <si>
    <t xml:space="preserve">rs13240600</t>
  </si>
  <si>
    <t xml:space="preserve">rs13247665</t>
  </si>
  <si>
    <t xml:space="preserve">rs13263601</t>
  </si>
  <si>
    <t xml:space="preserve">rs13287131</t>
  </si>
  <si>
    <t xml:space="preserve">rs1350430</t>
  </si>
  <si>
    <t xml:space="preserve">rs1358980</t>
  </si>
  <si>
    <t xml:space="preserve">rs1362910</t>
  </si>
  <si>
    <t xml:space="preserve">rs1371108</t>
  </si>
  <si>
    <t xml:space="preserve">rs1374111</t>
  </si>
  <si>
    <t xml:space="preserve">rs1405348</t>
  </si>
  <si>
    <t xml:space="preserve">rs1409818</t>
  </si>
  <si>
    <t xml:space="preserve">rs1412235</t>
  </si>
  <si>
    <t xml:space="preserve">rs1431659</t>
  </si>
  <si>
    <t xml:space="preserve">rs1433976</t>
  </si>
  <si>
    <t xml:space="preserve">rs1436343</t>
  </si>
  <si>
    <t xml:space="preserve">rs1451533</t>
  </si>
  <si>
    <t xml:space="preserve">rs1452075</t>
  </si>
  <si>
    <t xml:space="preserve">rs1460676</t>
  </si>
  <si>
    <t xml:space="preserve">rs1462496</t>
  </si>
  <si>
    <t xml:space="preserve">rs1465900</t>
  </si>
  <si>
    <t xml:space="preserve">rs1476322</t>
  </si>
  <si>
    <t xml:space="preserve">rs1484375</t>
  </si>
  <si>
    <t xml:space="preserve">rs1492767</t>
  </si>
  <si>
    <t xml:space="preserve">rs1522569</t>
  </si>
  <si>
    <t xml:space="preserve">rs1535660</t>
  </si>
  <si>
    <t xml:space="preserve">rs1538247</t>
  </si>
  <si>
    <t xml:space="preserve">rs1544459</t>
  </si>
  <si>
    <t xml:space="preserve">rs1552893</t>
  </si>
  <si>
    <t xml:space="preserve">rs156198</t>
  </si>
  <si>
    <t xml:space="preserve">rs1579557</t>
  </si>
  <si>
    <t xml:space="preserve">rs1656377</t>
  </si>
  <si>
    <t xml:space="preserve">rs16849710</t>
  </si>
  <si>
    <t xml:space="preserve">rs16851483</t>
  </si>
  <si>
    <t xml:space="preserve">rs16871902</t>
  </si>
  <si>
    <t xml:space="preserve">rs16952396</t>
  </si>
  <si>
    <t xml:space="preserve">rs17001561</t>
  </si>
  <si>
    <t xml:space="preserve">rs17014375</t>
  </si>
  <si>
    <t xml:space="preserve">rs1701704</t>
  </si>
  <si>
    <t xml:space="preserve">rs17033117</t>
  </si>
  <si>
    <t xml:space="preserve">rs17056301</t>
  </si>
  <si>
    <t xml:space="preserve">rs17113297</t>
  </si>
  <si>
    <t xml:space="preserve">rs17203016</t>
  </si>
  <si>
    <t xml:space="preserve">rs17207196</t>
  </si>
  <si>
    <t xml:space="preserve">rs17238110</t>
  </si>
  <si>
    <t xml:space="preserve">rs17379561</t>
  </si>
  <si>
    <t xml:space="preserve">rs17424296</t>
  </si>
  <si>
    <t xml:space="preserve">rs17425707</t>
  </si>
  <si>
    <t xml:space="preserve">rs17446299</t>
  </si>
  <si>
    <t xml:space="preserve">rs17450772</t>
  </si>
  <si>
    <t xml:space="preserve">rs175165</t>
  </si>
  <si>
    <t xml:space="preserve">rs17551974</t>
  </si>
  <si>
    <t xml:space="preserve">rs17636031</t>
  </si>
  <si>
    <t xml:space="preserve">rs17663412</t>
  </si>
  <si>
    <t xml:space="preserve">rs17710386</t>
  </si>
  <si>
    <t xml:space="preserve">rs17806379</t>
  </si>
  <si>
    <t xml:space="preserve">rs17822019</t>
  </si>
  <si>
    <t xml:space="preserve">rs1800437</t>
  </si>
  <si>
    <t xml:space="preserve">rs1804528</t>
  </si>
  <si>
    <t xml:space="preserve">rs1830074</t>
  </si>
  <si>
    <t xml:space="preserve">rs1854225</t>
  </si>
  <si>
    <t xml:space="preserve">rs1884389</t>
  </si>
  <si>
    <t xml:space="preserve">rs1891216</t>
  </si>
  <si>
    <t xml:space="preserve">rs1895407</t>
  </si>
  <si>
    <t xml:space="preserve">rs1927790</t>
  </si>
  <si>
    <t xml:space="preserve">rs1928295</t>
  </si>
  <si>
    <t xml:space="preserve">rs1937683</t>
  </si>
  <si>
    <t xml:space="preserve">rs1948080</t>
  </si>
  <si>
    <t xml:space="preserve">rs1962412</t>
  </si>
  <si>
    <t xml:space="preserve">rs1982725</t>
  </si>
  <si>
    <t xml:space="preserve">rs1993709</t>
  </si>
  <si>
    <t xml:space="preserve">rs200810</t>
  </si>
  <si>
    <t xml:space="preserve">rs20324</t>
  </si>
  <si>
    <t xml:space="preserve">rs2051559</t>
  </si>
  <si>
    <t xml:space="preserve">rs2065418</t>
  </si>
  <si>
    <t xml:space="preserve">rs2074314</t>
  </si>
  <si>
    <t xml:space="preserve">rs208015</t>
  </si>
  <si>
    <t xml:space="preserve">rs2124499</t>
  </si>
  <si>
    <t xml:space="preserve">rs2143624</t>
  </si>
  <si>
    <t xml:space="preserve">rs2155645</t>
  </si>
  <si>
    <t xml:space="preserve">rs215632</t>
  </si>
  <si>
    <t xml:space="preserve">rs2174367</t>
  </si>
  <si>
    <t xml:space="preserve">rs217671</t>
  </si>
  <si>
    <t xml:space="preserve">rs2181375</t>
  </si>
  <si>
    <t xml:space="preserve">rs2228213</t>
  </si>
  <si>
    <t xml:space="preserve">rs2235564</t>
  </si>
  <si>
    <t xml:space="preserve">rs2241423</t>
  </si>
  <si>
    <t xml:space="preserve">rs2241743</t>
  </si>
  <si>
    <t xml:space="preserve">rs2242189</t>
  </si>
  <si>
    <t xml:space="preserve">rs226000</t>
  </si>
  <si>
    <t xml:space="preserve">rs2274636</t>
  </si>
  <si>
    <t xml:space="preserve">rs2281819</t>
  </si>
  <si>
    <t xml:space="preserve">rs2283093</t>
  </si>
  <si>
    <t xml:space="preserve">rs2285178</t>
  </si>
  <si>
    <t xml:space="preserve">rs2290573</t>
  </si>
  <si>
    <t xml:space="preserve">rs2304607</t>
  </si>
  <si>
    <t xml:space="preserve">rs2307111</t>
  </si>
  <si>
    <t xml:space="preserve">rs2325036</t>
  </si>
  <si>
    <t xml:space="preserve">rs2357760</t>
  </si>
  <si>
    <t xml:space="preserve">rs2361988</t>
  </si>
  <si>
    <t xml:space="preserve">rs2365389</t>
  </si>
  <si>
    <t xml:space="preserve">rs2367112</t>
  </si>
  <si>
    <t xml:space="preserve">rs2423668</t>
  </si>
  <si>
    <t xml:space="preserve">rs2425857</t>
  </si>
  <si>
    <t xml:space="preserve">rs2429150</t>
  </si>
  <si>
    <t xml:space="preserve">rs2435061</t>
  </si>
  <si>
    <t xml:space="preserve">rs2465043</t>
  </si>
  <si>
    <t xml:space="preserve">rs2479958</t>
  </si>
  <si>
    <t xml:space="preserve">rs2481665</t>
  </si>
  <si>
    <t xml:space="preserve">rs2510344</t>
  </si>
  <si>
    <t xml:space="preserve">rs2596902</t>
  </si>
  <si>
    <t xml:space="preserve">rs2605603</t>
  </si>
  <si>
    <t xml:space="preserve">rs2693826</t>
  </si>
  <si>
    <t xml:space="preserve">rs273504</t>
  </si>
  <si>
    <t xml:space="preserve">rs2737249</t>
  </si>
  <si>
    <t xml:space="preserve">rs2781668</t>
  </si>
  <si>
    <t xml:space="preserve">rs2791653</t>
  </si>
  <si>
    <t xml:space="preserve">rs2814992</t>
  </si>
  <si>
    <t xml:space="preserve">rs2820311</t>
  </si>
  <si>
    <t xml:space="preserve">rs2832283</t>
  </si>
  <si>
    <t xml:space="preserve">rs2836964</t>
  </si>
  <si>
    <t xml:space="preserve">rs2861683</t>
  </si>
  <si>
    <t xml:space="preserve">rs287104</t>
  </si>
  <si>
    <t xml:space="preserve">rs2875762</t>
  </si>
  <si>
    <t xml:space="preserve">rs294704</t>
  </si>
  <si>
    <t xml:space="preserve">rs2962447</t>
  </si>
  <si>
    <t xml:space="preserve">rs2973565</t>
  </si>
  <si>
    <t xml:space="preserve">rs3134438</t>
  </si>
  <si>
    <t xml:space="preserve">rs326896</t>
  </si>
  <si>
    <t xml:space="preserve">rs331966</t>
  </si>
  <si>
    <t xml:space="preserve">rs33494</t>
  </si>
  <si>
    <t xml:space="preserve">rs339991</t>
  </si>
  <si>
    <t xml:space="preserve">rs349088</t>
  </si>
  <si>
    <t xml:space="preserve">rs3731695</t>
  </si>
  <si>
    <t xml:space="preserve">rs3736485</t>
  </si>
  <si>
    <t xml:space="preserve">rs3753549</t>
  </si>
  <si>
    <t xml:space="preserve">rs3756761</t>
  </si>
  <si>
    <t xml:space="preserve">rs3764835</t>
  </si>
  <si>
    <t xml:space="preserve">rs3783394</t>
  </si>
  <si>
    <t xml:space="preserve">rs3800229</t>
  </si>
  <si>
    <t xml:space="preserve">rs3800637</t>
  </si>
  <si>
    <t xml:space="preserve">rs3806114</t>
  </si>
  <si>
    <t xml:space="preserve">rs3806572</t>
  </si>
  <si>
    <t xml:space="preserve">rs380857</t>
  </si>
  <si>
    <t xml:space="preserve">rs3811951</t>
  </si>
  <si>
    <t xml:space="preserve">rs3814883</t>
  </si>
  <si>
    <t xml:space="preserve">rs3829849</t>
  </si>
  <si>
    <t xml:space="preserve">rs3902951</t>
  </si>
  <si>
    <t xml:space="preserve">rs391300</t>
  </si>
  <si>
    <t xml:space="preserve">rs3935648</t>
  </si>
  <si>
    <t xml:space="preserve">rs3977755</t>
  </si>
  <si>
    <t xml:space="preserve">rs40067</t>
  </si>
  <si>
    <t xml:space="preserve">rs4145734</t>
  </si>
  <si>
    <t xml:space="preserve">rs4148155</t>
  </si>
  <si>
    <t xml:space="preserve">rs4148866</t>
  </si>
  <si>
    <t xml:space="preserve">rs427943</t>
  </si>
  <si>
    <t xml:space="preserve">rs4284600</t>
  </si>
  <si>
    <t xml:space="preserve">rs429343</t>
  </si>
  <si>
    <t xml:space="preserve">rs4303732</t>
  </si>
  <si>
    <t xml:space="preserve">rs4307239</t>
  </si>
  <si>
    <t xml:space="preserve">rs4320543</t>
  </si>
  <si>
    <t xml:space="preserve">rs4343164</t>
  </si>
  <si>
    <t xml:space="preserve">rs4358081</t>
  </si>
  <si>
    <t xml:space="preserve">rs4366093</t>
  </si>
  <si>
    <t xml:space="preserve">rs438327</t>
  </si>
  <si>
    <t xml:space="preserve">rs4414033</t>
  </si>
  <si>
    <t xml:space="preserve">rs4430672</t>
  </si>
  <si>
    <t xml:space="preserve">rs4482463</t>
  </si>
  <si>
    <t xml:space="preserve">rs4495304</t>
  </si>
  <si>
    <t xml:space="preserve">rs4516268</t>
  </si>
  <si>
    <t xml:space="preserve">rs4518345</t>
  </si>
  <si>
    <t xml:space="preserve">rs4588572</t>
  </si>
  <si>
    <t xml:space="preserve">rs4624596</t>
  </si>
  <si>
    <t xml:space="preserve">rs4639527</t>
  </si>
  <si>
    <t xml:space="preserve">rs4653017</t>
  </si>
  <si>
    <t xml:space="preserve">rs4660443</t>
  </si>
  <si>
    <t xml:space="preserve">rs4671328</t>
  </si>
  <si>
    <t xml:space="preserve">rs4722398</t>
  </si>
  <si>
    <t xml:space="preserve">rs4722672</t>
  </si>
  <si>
    <t xml:space="preserve">rs4730110</t>
  </si>
  <si>
    <t xml:space="preserve">rs4740619</t>
  </si>
  <si>
    <t xml:space="preserve">rs4744275</t>
  </si>
  <si>
    <t xml:space="preserve">rs474605</t>
  </si>
  <si>
    <t xml:space="preserve">rs4764949</t>
  </si>
  <si>
    <t xml:space="preserve">rs4800191</t>
  </si>
  <si>
    <t xml:space="preserve">rs4813619</t>
  </si>
  <si>
    <t xml:space="preserve">rs4818225</t>
  </si>
  <si>
    <t xml:space="preserve">rs4820408</t>
  </si>
  <si>
    <t xml:space="preserve">rs4857329</t>
  </si>
  <si>
    <t xml:space="preserve">rs4858193</t>
  </si>
  <si>
    <t xml:space="preserve">rs4864201</t>
  </si>
  <si>
    <t xml:space="preserve">rs487060</t>
  </si>
  <si>
    <t xml:space="preserve">rs4906908</t>
  </si>
  <si>
    <t xml:space="preserve">rs491711</t>
  </si>
  <si>
    <t xml:space="preserve">rs4968656</t>
  </si>
  <si>
    <t xml:space="preserve">rs4986044</t>
  </si>
  <si>
    <t xml:space="preserve">rs5396</t>
  </si>
  <si>
    <t xml:space="preserve">rs543874</t>
  </si>
  <si>
    <t xml:space="preserve">rs577525</t>
  </si>
  <si>
    <t xml:space="preserve">rs580438</t>
  </si>
  <si>
    <t xml:space="preserve">rs592483</t>
  </si>
  <si>
    <t xml:space="preserve">rs6448587</t>
  </si>
  <si>
    <t xml:space="preserve">rs6461115</t>
  </si>
  <si>
    <t xml:space="preserve">rs6471941</t>
  </si>
  <si>
    <t xml:space="preserve">rs6512302</t>
  </si>
  <si>
    <t xml:space="preserve">rs6545714</t>
  </si>
  <si>
    <t xml:space="preserve">rs6556301</t>
  </si>
  <si>
    <t xml:space="preserve">rs6567160</t>
  </si>
  <si>
    <t xml:space="preserve">rs6587552</t>
  </si>
  <si>
    <t xml:space="preserve">rs6597173</t>
  </si>
  <si>
    <t xml:space="preserve">rs6673081</t>
  </si>
  <si>
    <t xml:space="preserve">rs6692586</t>
  </si>
  <si>
    <t xml:space="preserve">rs6707445</t>
  </si>
  <si>
    <t xml:space="preserve">rs6712</t>
  </si>
  <si>
    <t xml:space="preserve">rs6764533</t>
  </si>
  <si>
    <t xml:space="preserve">rs6772756</t>
  </si>
  <si>
    <t xml:space="preserve">rs6794351</t>
  </si>
  <si>
    <t xml:space="preserve">rs6804842</t>
  </si>
  <si>
    <t xml:space="preserve">rs685870</t>
  </si>
  <si>
    <t xml:space="preserve">rs6870983</t>
  </si>
  <si>
    <t xml:space="preserve">rs6922607</t>
  </si>
  <si>
    <t xml:space="preserve">rs7037266</t>
  </si>
  <si>
    <t xml:space="preserve">rs705217</t>
  </si>
  <si>
    <t xml:space="preserve">rs7096307</t>
  </si>
  <si>
    <t xml:space="preserve">rs7098100</t>
  </si>
  <si>
    <t xml:space="preserve">rs7102454</t>
  </si>
  <si>
    <t xml:space="preserve">rs711347</t>
  </si>
  <si>
    <t xml:space="preserve">rs7117238</t>
  </si>
  <si>
    <t xml:space="preserve">rs7119801</t>
  </si>
  <si>
    <t xml:space="preserve">rs7124681</t>
  </si>
  <si>
    <t xml:space="preserve">rs7138803</t>
  </si>
  <si>
    <t xml:space="preserve">rs7148846</t>
  </si>
  <si>
    <t xml:space="preserve">rs7164558</t>
  </si>
  <si>
    <t xml:space="preserve">rs7187776</t>
  </si>
  <si>
    <t xml:space="preserve">rs7192057</t>
  </si>
  <si>
    <t xml:space="preserve">rs7195386</t>
  </si>
  <si>
    <t xml:space="preserve">rs7206395</t>
  </si>
  <si>
    <t xml:space="preserve">rs7206608</t>
  </si>
  <si>
    <t xml:space="preserve">rs7222349</t>
  </si>
  <si>
    <t xml:space="preserve">rs7238501</t>
  </si>
  <si>
    <t xml:space="preserve">rs7318817</t>
  </si>
  <si>
    <t xml:space="preserve">rs7334078</t>
  </si>
  <si>
    <t xml:space="preserve">rs733594</t>
  </si>
  <si>
    <t xml:space="preserve">rs741959</t>
  </si>
  <si>
    <t xml:space="preserve">rs7519259</t>
  </si>
  <si>
    <t xml:space="preserve">rs7531656</t>
  </si>
  <si>
    <t xml:space="preserve">rs7535528</t>
  </si>
  <si>
    <t xml:space="preserve">rs754635</t>
  </si>
  <si>
    <t xml:space="preserve">rs7551507</t>
  </si>
  <si>
    <t xml:space="preserve">rs7557796</t>
  </si>
  <si>
    <t xml:space="preserve">rs756717</t>
  </si>
  <si>
    <t xml:space="preserve">rs7594289</t>
  </si>
  <si>
    <t xml:space="preserve">rs7598508</t>
  </si>
  <si>
    <t xml:space="preserve">rs7599312</t>
  </si>
  <si>
    <t xml:space="preserve">rs7615297</t>
  </si>
  <si>
    <t xml:space="preserve">rs7626079</t>
  </si>
  <si>
    <t xml:space="preserve">rs7637852</t>
  </si>
  <si>
    <t xml:space="preserve">rs7647242</t>
  </si>
  <si>
    <t xml:space="preserve">rs765875</t>
  </si>
  <si>
    <t xml:space="preserve">rs7683836</t>
  </si>
  <si>
    <t xml:space="preserve">rs768840</t>
  </si>
  <si>
    <t xml:space="preserve">rs769449</t>
  </si>
  <si>
    <t xml:space="preserve">rs7694732</t>
  </si>
  <si>
    <t xml:space="preserve">rs7704281</t>
  </si>
  <si>
    <t xml:space="preserve">rs7707981</t>
  </si>
  <si>
    <t xml:space="preserve">rs7711753</t>
  </si>
  <si>
    <t xml:space="preserve">rs7715256</t>
  </si>
  <si>
    <t xml:space="preserve">rs7730004</t>
  </si>
  <si>
    <t xml:space="preserve">rs7730898</t>
  </si>
  <si>
    <t xml:space="preserve">rs7761673</t>
  </si>
  <si>
    <t xml:space="preserve">rs7788008</t>
  </si>
  <si>
    <t xml:space="preserve">rs7811342</t>
  </si>
  <si>
    <t xml:space="preserve">rs7826312</t>
  </si>
  <si>
    <t xml:space="preserve">rs7843948</t>
  </si>
  <si>
    <t xml:space="preserve">rs7869771</t>
  </si>
  <si>
    <t xml:space="preserve">rs7871866</t>
  </si>
  <si>
    <t xml:space="preserve">rs7893571</t>
  </si>
  <si>
    <t xml:space="preserve">rs7899106</t>
  </si>
  <si>
    <t xml:space="preserve">rs7928523</t>
  </si>
  <si>
    <t xml:space="preserve">rs7933205</t>
  </si>
  <si>
    <t xml:space="preserve">rs7968230</t>
  </si>
  <si>
    <t xml:space="preserve">rs7970953</t>
  </si>
  <si>
    <t xml:space="preserve">rs7978615</t>
  </si>
  <si>
    <t xml:space="preserve">rs7983065</t>
  </si>
  <si>
    <t xml:space="preserve">rs8036040</t>
  </si>
  <si>
    <t xml:space="preserve">rs806600</t>
  </si>
  <si>
    <t xml:space="preserve">rs8068351</t>
  </si>
  <si>
    <t xml:space="preserve">rs8071182</t>
  </si>
  <si>
    <t xml:space="preserve">rs808820</t>
  </si>
  <si>
    <t xml:space="preserve">rs8090983</t>
  </si>
  <si>
    <t xml:space="preserve">rs8097544</t>
  </si>
  <si>
    <t xml:space="preserve">rs8097783</t>
  </si>
  <si>
    <t xml:space="preserve">rs8102137</t>
  </si>
  <si>
    <t xml:space="preserve">rs8123881</t>
  </si>
  <si>
    <t xml:space="preserve">rs825688</t>
  </si>
  <si>
    <t xml:space="preserve">rs845084</t>
  </si>
  <si>
    <t xml:space="preserve">rs852056</t>
  </si>
  <si>
    <t xml:space="preserve">rs865809</t>
  </si>
  <si>
    <t xml:space="preserve">rs872281</t>
  </si>
  <si>
    <t xml:space="preserve">rs879255</t>
  </si>
  <si>
    <t xml:space="preserve">rs879620</t>
  </si>
  <si>
    <t xml:space="preserve">rs892261</t>
  </si>
  <si>
    <t xml:space="preserve">rs900144</t>
  </si>
  <si>
    <t xml:space="preserve">rs901630</t>
  </si>
  <si>
    <t xml:space="preserve">rs902695</t>
  </si>
  <si>
    <t xml:space="preserve">rs925018</t>
  </si>
  <si>
    <t xml:space="preserve">rs9291467</t>
  </si>
  <si>
    <t xml:space="preserve">rs9294260</t>
  </si>
  <si>
    <t xml:space="preserve">rs930295</t>
  </si>
  <si>
    <t xml:space="preserve">rs9317615</t>
  </si>
  <si>
    <t xml:space="preserve">rs934224</t>
  </si>
  <si>
    <t xml:space="preserve">rs9362662</t>
  </si>
  <si>
    <t xml:space="preserve">rs9367368</t>
  </si>
  <si>
    <t xml:space="preserve">rs9379827</t>
  </si>
  <si>
    <t xml:space="preserve">rs9408882</t>
  </si>
  <si>
    <t xml:space="preserve">rs943005</t>
  </si>
  <si>
    <t xml:space="preserve">rs947137</t>
  </si>
  <si>
    <t xml:space="preserve">rs947612</t>
  </si>
  <si>
    <t xml:space="preserve">rs9522282</t>
  </si>
  <si>
    <t xml:space="preserve">rs9527895</t>
  </si>
  <si>
    <t xml:space="preserve">rs9530843</t>
  </si>
  <si>
    <t xml:space="preserve">rs9547153</t>
  </si>
  <si>
    <t xml:space="preserve">rs9563576</t>
  </si>
  <si>
    <t xml:space="preserve">rs9615905</t>
  </si>
  <si>
    <t xml:space="preserve">rs962796</t>
  </si>
  <si>
    <t xml:space="preserve">rs9630985</t>
  </si>
  <si>
    <t xml:space="preserve">rs9636202</t>
  </si>
  <si>
    <t xml:space="preserve">rs9688431</t>
  </si>
  <si>
    <t xml:space="preserve">rs9783858</t>
  </si>
  <si>
    <t xml:space="preserve">rs9816226</t>
  </si>
  <si>
    <t xml:space="preserve">rs9817840</t>
  </si>
  <si>
    <t xml:space="preserve">rs9926784</t>
  </si>
  <si>
    <t xml:space="preserve">rs998732</t>
  </si>
  <si>
    <t xml:space="preserve">rs9989141</t>
  </si>
  <si>
    <t xml:space="preserve">rs999889</t>
  </si>
  <si>
    <t xml:space="preserve">rs10830963</t>
  </si>
  <si>
    <t xml:space="preserve">rs16988333</t>
  </si>
  <si>
    <t xml:space="preserve">rs61953351</t>
  </si>
  <si>
    <t xml:space="preserve">rs7144011</t>
  </si>
  <si>
    <t xml:space="preserve">rs735949</t>
  </si>
  <si>
    <t xml:space="preserve">rs7729395</t>
  </si>
  <si>
    <t xml:space="preserve">rs963740</t>
  </si>
  <si>
    <t xml:space="preserve">rs9844972</t>
  </si>
  <si>
    <t xml:space="preserve">rs1020548</t>
  </si>
  <si>
    <t xml:space="preserve">rs10984752</t>
  </si>
  <si>
    <t xml:space="preserve">rs11615578</t>
  </si>
  <si>
    <t xml:space="preserve">rs12881629</t>
  </si>
  <si>
    <t xml:space="preserve">rs12905439</t>
  </si>
  <si>
    <t xml:space="preserve">rs13069244</t>
  </si>
  <si>
    <t xml:space="preserve">rs13107325</t>
  </si>
  <si>
    <t xml:space="preserve">rs17789218</t>
  </si>
  <si>
    <t xml:space="preserve">rs17827419</t>
  </si>
  <si>
    <t xml:space="preserve">rs355777</t>
  </si>
  <si>
    <t xml:space="preserve">rs3821548</t>
  </si>
  <si>
    <t xml:space="preserve">rs6050446</t>
  </si>
  <si>
    <t xml:space="preserve">rs6443750</t>
  </si>
  <si>
    <t xml:space="preserve">rs7163407</t>
  </si>
  <si>
    <t xml:space="preserve">rs7550711</t>
  </si>
  <si>
    <t xml:space="preserve">rs7640424</t>
  </si>
  <si>
    <t xml:space="preserve">rs895330</t>
  </si>
  <si>
    <t xml:space="preserve">rs9304665</t>
  </si>
  <si>
    <t xml:space="preserve">rs969273</t>
  </si>
  <si>
    <t xml:space="preserve">Ratio</t>
  </si>
  <si>
    <t xml:space="preserve">Direction correct</t>
  </si>
  <si>
    <t xml:space="preserve">Steiger p</t>
  </si>
  <si>
    <t xml:space="preserve">TRUE</t>
  </si>
  <si>
    <t xml:space="preserve">&lt; 1e-16</t>
  </si>
  <si>
    <t xml:space="preserve">Binary traits: r from get_r_from_lor() with case/control counts and assumed prevalence (T2D 9.2%, cataract 17.2%). BMI and the UKB linear outcome: r from p and N. Steiger p printed as 0 by R = below machine precision.</t>
  </si>
  <si>
    <t xml:space="preserve">Sensitivity over assumed prevalence</t>
  </si>
  <si>
    <t xml:space="preserve">T2D prevalence</t>
  </si>
  <si>
    <t xml:space="preserve">Cataract prevalence</t>
  </si>
  <si>
    <t xml:space="preserve">Comparison</t>
  </si>
  <si>
    <t xml:space="preserve">SNPs used</t>
  </si>
  <si>
    <t xml:space="preserve">SNPs total</t>
  </si>
  <si>
    <t xml:space="preserve">Slope b</t>
  </si>
  <si>
    <t xml:space="preserve">T2D EUR instruments -&gt; T2D in BBJ (bbj-a-153, Ishigaki 2019)</t>
  </si>
  <si>
    <t xml:space="preserve">T2D EUR instruments -&gt; T2D East Asian meta (ebi-a-GCST010118, Spracklen 2020)</t>
  </si>
  <si>
    <t xml:space="preserve">BMI EUR instruments -&gt; BMI in BBJ (bbj-a-1, Ishigaki 2019)</t>
  </si>
  <si>
    <t xml:space="preserve">From 05_transferability.R (transferability_results.csv), 3 significant figures. Slope 1 = same per-allele effect in both ancestries. Winner's curse in the European discovery betas pushes slopes below 1 even with perfect transfer, so these are lower bounds on true transferability. Egger slopes are unreliable here because of extreme heterogeneity (Q p &lt; 1e-90): per-SNP transfer is very uneven.</t>
  </si>
  <si>
    <t xml:space="preserve">Both BMI datasets are in SD units: SE x sqrt(2 N f (1-f)) has median 1.00 in both.</t>
  </si>
  <si>
    <t xml:space="preserve">Implication: the East Asian MR estimates in this design divide by European SNP-exposure effects, which are too large for East Asians, so the East Asian estimates are biased toward the null on the East Asian scale. Attenuation does not explain the larger East Asian estimates.</t>
  </si>
  <si>
    <t xml:space="preserve">A. IVW comparison, common European exposure scale, with rescaling by the transferability slope (formulas)</t>
  </si>
  <si>
    <t xml:space="preserve">European outcome</t>
  </si>
  <si>
    <t xml:space="preserve">b East Asian (BBJ)</t>
  </si>
  <si>
    <t xml:space="preserve">b European</t>
  </si>
  <si>
    <t xml:space="preserve">Difference</t>
  </si>
  <si>
    <t xml:space="preserve">SE diff</t>
  </si>
  <si>
    <t xml:space="preserve">z</t>
  </si>
  <si>
    <t xml:space="preserve">I2 %</t>
  </si>
  <si>
    <t xml:space="preserve">Transfer slope</t>
  </si>
  <si>
    <t xml:space="preserve">Slope SE</t>
  </si>
  <si>
    <t xml:space="preserve">BBJ rescaled b</t>
  </si>
  <si>
    <t xml:space="preserve">Rescaled SE</t>
  </si>
  <si>
    <t xml:space="preserve">Rescaled diff</t>
  </si>
  <si>
    <t xml:space="preserve">p (rescaled)</t>
  </si>
  <si>
    <t xml:space="preserve">Blue = inputs (IVW transferability slopes from the Transferability sheet). Rescaled b = BBJ b / slope; its SE combines both relative errors. Rescaled values are upper bounds on the East Asian effect (winner's curse makes the slope too small; a single factor is crude when transfer is uneven). UKB excluded: linear scale.</t>
  </si>
  <si>
    <t xml:space="preserve">Interpretation: on the common scale, no significant ancestry difference (T2D p = 0.13 / 0.27; BMI p = 0.25 / 0.90). On the East Asian scale the T2D and BMI differences vs FinnGen become nominal (p ~ 0.03 and ~ 0.01), borderline vs Sakaue. Zhang 2022's own East Asian-scale estimate (OR 1.10, 1.06-1.17) is below our raw 1.14, so the truth on the East Asian scale likely lies between raw and rescaled.</t>
  </si>
  <si>
    <t xml:space="preserve">B. Every method with a usable SE (64 comparisons; not independent)</t>
  </si>
  <si>
    <t xml:space="preserve">b East Asian</t>
  </si>
  <si>
    <t xml:space="preserve">OR ratio EAS/EUR</t>
  </si>
  <si>
    <t xml:space="preserve">For T2D vs FinnGen, 7 of 16 methods give p &lt; 0.05 (robust estimators: BBJ above IVW, FinnGen below IVW). For BMI, none does (min p = 0.15). Bootstrap Egger p relies on bootstrap SEs smaller than the analytic ones; analytic Egger p = 0.011.</t>
  </si>
  <si>
    <t xml:space="preserve">Cases</t>
  </si>
  <si>
    <t xml:space="preserve">R2 instruments</t>
  </si>
  <si>
    <t xml:space="preserve">Effect size evaluated</t>
  </si>
  <si>
    <t xml:space="preserve">Power (or min. detectable OR)</t>
  </si>
  <si>
    <t xml:space="preserve">T2D</t>
  </si>
  <si>
    <t xml:space="preserve">Biobank Japan</t>
  </si>
  <si>
    <t xml:space="preserve">OR 1.05 per log-odds</t>
  </si>
  <si>
    <t xml:space="preserve">OR 1.09 (FinnGen-size)</t>
  </si>
  <si>
    <t xml:space="preserve">OR 1.14 (BBJ-size)</t>
  </si>
  <si>
    <t xml:space="preserve">OR 1.20 per log-odds</t>
  </si>
  <si>
    <t xml:space="preserve">minimum detectable OR at 80% power</t>
  </si>
  <si>
    <t xml:space="preserve">UKB self-report</t>
  </si>
  <si>
    <t xml:space="preserve">FinnGen R5</t>
  </si>
  <si>
    <t xml:space="preserve">Sakaue 2021 EUR</t>
  </si>
  <si>
    <t xml:space="preserve">OR 1.05 per SD</t>
  </si>
  <si>
    <t xml:space="preserve">OR 1.13 (FinnGen-size)</t>
  </si>
  <si>
    <t xml:space="preserve">OR 1.21 (BBJ-size)</t>
  </si>
  <si>
    <t xml:space="preserve">OR 1.30 per SD</t>
  </si>
  <si>
    <t xml:space="preserve">Binary-outcome approximation of Burgess (Int J Epidemiol 2014;43:922-929): z = beta per SD x sqrt(N x R2 x K(1-K)); power = Phi(z - 1.96); alpha 0.05. N and K from the outcome GWAS; R2 = variance explained in the exposure by the instruments, from the Steiger sheet.</t>
  </si>
  <si>
    <t xml:space="preserve">T2D: exposure is genetic liability on the log-odds scale; its SD under a logistic model is pi/sqrt(3) = 1.81, so OR per SD of liability = (OR per unit log-odds)^1.81. This is an approximation. BMI: OR per SD of BMI directly.</t>
  </si>
  <si>
    <t xml:space="preserve">Reading: UKB (5,045 cases) could reliably detect only effects about the size seen in East Asians (minimum detectable OR 1.12 for T2D, 1.20 for BMI), not the smaller European effects (about 50% power). FinnGen and Sakaue detect OR 1.04-1.09 with 80% power. The formula assumes an accurately measured outcome; UKB self-report classifies 1.4% as cases vs 12% in FinnGen, so hidden cases among controls dilute UKB effects further.</t>
  </si>
  <si>
    <t xml:space="preserve">IVW b (linear)</t>
  </si>
  <si>
    <t xml:space="preserve">SE (linear)</t>
  </si>
  <si>
    <t xml:space="preserve">b (log-odds)</t>
  </si>
  <si>
    <t xml:space="preserve">SE (log-odds)</t>
  </si>
  <si>
    <t xml:space="preserve">The Neale-lab UKB GWAS used a linear model on the 0/1 cataract phenotype. Approximate conversion to the log-odds scale: divide beta and SE by K(1-K), K = 5,045/361,141 = 0.01397 (Lloyd-Jones et al. 2018, Genetics). Formulas are live.</t>
  </si>
  <si>
    <t xml:space="preserve">T2D 1.07 (1.01-1.15) and BMI 1.10 (0.97-1.24) sit beside FinnGen's 1.09 and 1.13: the UKB point estimates agree; only precision differs. The alcohol value (0.52) is implausibly large; UKB is a major part of the alcohol exposure GWAS, so sample overlap makes this row unreliable.</t>
  </si>
  <si>
    <t xml:space="preserve">Analysis</t>
  </si>
  <si>
    <t xml:space="preserve">SNPs</t>
  </si>
  <si>
    <t xml:space="preserve">0. all instruments (main analysis)</t>
  </si>
  <si>
    <t xml:space="preserve">A1. no palindromic SNPs</t>
  </si>
  <si>
    <t xml:space="preserve">A2. no proxy SNPs</t>
  </si>
  <si>
    <t xml:space="preserve">B. one SNP per 1 Mb</t>
  </si>
  <si>
    <t xml:space="preserve">C. East Asian exposure p &lt; 0.05</t>
  </si>
  <si>
    <t xml:space="preserve">C. East Asian exposure p &lt; 5e-8</t>
  </si>
  <si>
    <t xml:space="preserve">D. East Asian scale (EAS exposure effects, p &lt; 5e-8)</t>
  </si>
  <si>
    <t xml:space="preserve">East Asian-scale estimates, all methods run (analysis D)</t>
  </si>
  <si>
    <t xml:space="preserve">RAPS</t>
  </si>
  <si>
    <t xml:space="preserve">Ancestry difference (Biobank Japan vs FinnGen, IVW) under each restriction</t>
  </si>
  <si>
    <t xml:space="preserve">SNPs BBJ</t>
  </si>
  <si>
    <t xml:space="preserve">SNPs FinnGen</t>
  </si>
  <si>
    <t xml:space="preserve">b BBJ</t>
  </si>
  <si>
    <t xml:space="preserve">b FinnGen</t>
  </si>
  <si>
    <t xml:space="preserve">From 07_eas_arm_sensitivity.R (results/eas_arm_sensitivity/). A and B: harmonisation checks for European instruments in an East Asian outcome; no material change. C: both arms restricted to the same SNPs with East Asian exposure p below the threshold (T2D: Spracklen 2020 meta-analysis; BMI: BBJ). D: same SNPs, but East Asian SNP-exposure effects as the denominator (IVW, RAPS, weighted median).</t>
  </si>
  <si>
    <t xml:space="preserve">Reading: FinnGen is indifferent to the instrument subset (0.080-0.089); Biobank Japan rises as poorly transferring SNPs are removed (0.133 -&gt; 0.183) and the East Asian-scale T2D estimate is 0.168 (OR 1.18, 1.14-1.23). Difference from FinnGen p = 0.0065 (restricted) and 0.0066 (East Asian scale vs FinnGen main). BMI: only 19 East Asian genome-wide significant SNPs; no difference evident.</t>
  </si>
  <si>
    <t xml:space="preserve">Caveats: analyses C and D were motivated by the transferability result (not pre-specified); the East Asian T2D effects come from a meta-analysis that includes Biobank Japan (sample overlap with the outcome); winner's curse on those effects biases D toward the null. Report after the primary comparison, as sensitivity analyses.</t>
  </si>
  <si>
    <t xml:space="preserve">Exposure-specific SNPs</t>
  </si>
  <si>
    <t xml:space="preserve">b (adjusted)</t>
  </si>
  <si>
    <t xml:space="preserve">Univariable OR (for comparison)</t>
  </si>
  <si>
    <t xml:space="preserve">Conditional F</t>
  </si>
  <si>
    <t xml:space="preserve">1.14</t>
  </si>
  <si>
    <t xml:space="preserve">1.21</t>
  </si>
  <si>
    <t xml:space="preserve">UKB self-report (linear scale)</t>
  </si>
  <si>
    <t xml:space="preserve">linear</t>
  </si>
  <si>
    <t xml:space="preserve">1.09</t>
  </si>
  <si>
    <t xml:space="preserve">1.13</t>
  </si>
  <si>
    <t xml:space="preserve">1.11</t>
  </si>
  <si>
    <t xml:space="preserve">1.20</t>
  </si>
  <si>
    <t xml:space="preserve">From 08_mvmr_t2d_bmi.R (TwoSampleMR mv_multiple; 420 SNPs = union of T2D and BMI instruments re-clumped at r2 &lt; 0.001) and 09_mvmr_strength.R (MVMR package: conditional F and Q, with the covariance between exposure effects fixed at 0, an approximation because both exposure GWAS include UK Biobank). 'Exposure-specific SNPs' = SNPs with p &lt; 5e-8 for that exposure; all 420 enter the model.</t>
  </si>
  <si>
    <t xml:space="preserve">Reading: adjusting for BMI leaves the T2D effect essentially unchanged in every outcome; adjusting for T2D halves the BMI effect (Biobank Japan 1.21 -&gt; 1.05; FinnGen 1.13 -&gt; 1.07; Sakaue 1.20 -&gt; 1.10). Consistent with Liu 2026 and Arruda 2025 in Europeans; first shown in East Asians here. Conditional F above 10 for both exposures. In the Biobank Japan arm both exposures use European effects, and BMI instruments attenuate more (0.59 vs 0.82), so the BMI coefficient there is scaled down more than the T2D one.</t>
  </si>
  <si>
    <t xml:space="preserve">Exposure GWAS (East Asian)</t>
  </si>
  <si>
    <t xml:space="preserve">Q p (IVW)</t>
  </si>
  <si>
    <t xml:space="preserve">Mean F</t>
  </si>
  <si>
    <t xml:space="preserve">bbj-a-77 (BBJ T2D, Ishigaki 2019; 36,614 cases; Zhang 2022's exposure)</t>
  </si>
  <si>
    <t xml:space="preserve">ebi-a-GCST010118 (East Asian meta, Spracklen 2020; 77,418 cases)</t>
  </si>
  <si>
    <t xml:space="preserve">T2D -&gt; cataract: all like-for-like East Asian estimates vs FinnGen (IVW, log-odds per unit genetic liability)</t>
  </si>
  <si>
    <t xml:space="preserve">East Asian b</t>
  </si>
  <si>
    <t xml:space="preserve">FinnGen b</t>
  </si>
  <si>
    <t xml:space="preserve">Main: European instruments, European scale (pre-specified)</t>
  </si>
  <si>
    <t xml:space="preserve">European instruments restricted to East Asian p &lt; 5e-8 (07 C)</t>
  </si>
  <si>
    <t xml:space="preserve">European instruments, East Asian SNP-T2D effects (07 D)</t>
  </si>
  <si>
    <t xml:space="preserve">East Asian instruments: BBJ T2D bbj-a-77 (10)</t>
  </si>
  <si>
    <t xml:space="preserve">East Asian instruments: Spracklen 2020 (10)</t>
  </si>
  <si>
    <t xml:space="preserve">From 10_eas_instruments.R: East Asian-discovered T2D instruments (p &lt; 5e-8, clumped r2 &lt; 0.001 with the East Asian LD reference) against Biobank Japan cataract. Both exposure GWAS overlap the outcome cohort (bbj-a-77 fully, Spracklen partly). Overlap bias bound (Burgess 2016): roughly (observational log-OR ~ ln 1.97) x overlap / F = 0.69 / 75 = 0.009 log-odds at full overlap, an order of magnitude smaller than the ancestry difference.</t>
  </si>
  <si>
    <t xml:space="preserve">Reading: with matched instruments the East Asian T2D effect is OR 1.19-1.21 per unit log-odds, heterogeneity disappears (Q p 0.21 and 0.14, vs 0.008 with European instruments), and the bbj-a-77 set shows no Egger intercept (p 0.65; Spracklen set borderline, 0.041). Four like-for-like analyses (07 C, 07 D, 10 x 2) give 0.17-0.19 against FinnGen's 0.086; p from 0.007 to 0.0001. Only the pre-specified mismatched-scale comparison is non-significant (p 0.13), and the transferability analysis explains why.</t>
  </si>
  <si>
    <t xml:space="preserve">Zhang 2022 reported ~OR 1.10 on the LIABILITY scale (their Figure 3 is labelled 'liability odds ratio'; the group's 2025 paper describes transforming logit-scale MR estimates to the liability scale following Byrne et al.). Our estimates are on the logit scale, so the numbers are not comparable; with their exposure GWAS and outcome our logit-scale IVW is 1.21 (1.18-1.25).</t>
  </si>
  <si>
    <t xml:space="preserve">What a larger East Asian estimate could mean besides biology: different cataract definitions (hospital diagnosis in BBJ vs registry senile cataract in FinnGen), different T2D liability distributions (East Asians develop T2D at lower BMI, so a unit of genetic liability may map to a different clinical exposure), hospital-based selection in BBJ. None can be resolved with these data; state them.</t>
  </si>
</sst>
</file>

<file path=xl/styles.xml><?xml version="1.0" encoding="utf-8"?>
<styleSheet xmlns="http://schemas.openxmlformats.org/spreadsheetml/2006/main">
  <numFmts count="8">
    <numFmt numFmtId="164" formatCode="General"/>
    <numFmt numFmtId="165" formatCode="0.0000"/>
    <numFmt numFmtId="166" formatCode="0.00E+00"/>
    <numFmt numFmtId="167" formatCode="0.00000"/>
    <numFmt numFmtId="168" formatCode="0.0"/>
    <numFmt numFmtId="169" formatCode="0.00"/>
    <numFmt numFmtId="170" formatCode="0.000"/>
    <numFmt numFmtId="171" formatCode="0.000000"/>
  </numFmts>
  <fonts count="9">
    <font>
      <sz val="11"/>
      <color theme="1"/>
      <name val="Calibri"/>
      <family val="2"/>
      <charset val="1"/>
    </font>
    <font>
      <sz val="10"/>
      <name val="Arial"/>
      <family val="0"/>
    </font>
    <font>
      <sz val="10"/>
      <name val="Arial"/>
      <family val="0"/>
    </font>
    <font>
      <sz val="10"/>
      <name val="Arial"/>
      <family val="0"/>
    </font>
    <font>
      <b val="true"/>
      <sz val="11"/>
      <name val="Arial"/>
      <family val="0"/>
      <charset val="1"/>
    </font>
    <font>
      <sz val="11"/>
      <name val="Arial"/>
      <family val="0"/>
      <charset val="1"/>
    </font>
    <font>
      <b val="true"/>
      <sz val="11"/>
      <color rgb="FFFFFFFF"/>
      <name val="Arial"/>
      <family val="0"/>
      <charset val="1"/>
    </font>
    <font>
      <i val="true"/>
      <sz val="11"/>
      <color rgb="FF555555"/>
      <name val="Arial"/>
      <family val="0"/>
      <charset val="1"/>
    </font>
    <font>
      <sz val="11"/>
      <color rgb="FF0000FF"/>
      <name val="Arial"/>
      <family val="0"/>
      <charset val="1"/>
    </font>
  </fonts>
  <fills count="3">
    <fill>
      <patternFill patternType="none"/>
    </fill>
    <fill>
      <patternFill patternType="gray125"/>
    </fill>
    <fill>
      <patternFill patternType="solid">
        <fgColor rgb="FF1F4E78"/>
        <bgColor rgb="FF003366"/>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2" borderId="0" xfId="0" applyFont="true" applyBorder="false" applyAlignment="true" applyProtection="false">
      <alignment horizontal="general" vertical="center" textRotation="0" wrapText="tru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5" fontId="5" fillId="0" borderId="0" xfId="0" applyFont="true" applyBorder="false" applyAlignment="true" applyProtection="false">
      <alignment horizontal="general" vertical="bottom" textRotation="0" wrapText="false" indent="0" shrinkToFit="false"/>
      <protection locked="true" hidden="false"/>
    </xf>
    <xf numFmtId="166" fontId="5"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7" fontId="5" fillId="0" borderId="0" xfId="0" applyFont="true" applyBorder="false" applyAlignment="true" applyProtection="false">
      <alignment horizontal="general" vertical="bottom" textRotation="0" wrapText="false" indent="0" shrinkToFit="false"/>
      <protection locked="true" hidden="false"/>
    </xf>
    <xf numFmtId="168" fontId="5" fillId="0" borderId="0" xfId="0" applyFont="true" applyBorder="false" applyAlignment="true" applyProtection="false">
      <alignment horizontal="general" vertical="bottom" textRotation="0" wrapText="false" indent="0" shrinkToFit="false"/>
      <protection locked="true" hidden="false"/>
    </xf>
    <xf numFmtId="169" fontId="5" fillId="0" borderId="0" xfId="0" applyFont="true" applyBorder="false" applyAlignment="true" applyProtection="false">
      <alignment horizontal="general" vertical="bottom" textRotation="0" wrapText="false" indent="0" shrinkToFit="false"/>
      <protection locked="true" hidden="false"/>
    </xf>
    <xf numFmtId="170" fontId="5" fillId="0" borderId="0" xfId="0" applyFont="true" applyBorder="false" applyAlignment="true" applyProtection="false">
      <alignment horizontal="general" vertical="bottom" textRotation="0" wrapText="false" indent="0" shrinkToFit="false"/>
      <protection locked="true" hidden="false"/>
    </xf>
    <xf numFmtId="165" fontId="8" fillId="0" borderId="0" xfId="0" applyFont="true" applyBorder="false" applyAlignment="true" applyProtection="false">
      <alignment horizontal="general" vertical="bottom" textRotation="0" wrapText="false" indent="0" shrinkToFit="false"/>
      <protection locked="true" hidden="false"/>
    </xf>
    <xf numFmtId="171" fontId="5"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1F4E78"/>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55555"/>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2" min="2" style="1" width="110"/>
  </cols>
  <sheetData>
    <row r="1" customFormat="false" ht="26.25" hidden="false" customHeight="true" outlineLevel="0" collapsed="false">
      <c r="A1" s="2" t="s">
        <v>0</v>
      </c>
      <c r="B1" s="3" t="s">
        <v>1</v>
      </c>
    </row>
    <row r="2" customFormat="false" ht="15" hidden="false" customHeight="true" outlineLevel="0" collapsed="false">
      <c r="A2" s="2"/>
      <c r="B2" s="3"/>
    </row>
    <row r="3" customFormat="false" ht="15" hidden="false" customHeight="true" outlineLevel="0" collapsed="false">
      <c r="A3" s="2" t="s">
        <v>2</v>
      </c>
      <c r="B3" s="3"/>
    </row>
    <row r="4" customFormat="false" ht="15" hidden="false" customHeight="true" outlineLevel="0" collapsed="false">
      <c r="A4" s="2" t="s">
        <v>3</v>
      </c>
      <c r="B4" s="3" t="s">
        <v>4</v>
      </c>
    </row>
    <row r="5" customFormat="false" ht="26.25" hidden="false" customHeight="true" outlineLevel="0" collapsed="false">
      <c r="A5" s="2" t="s">
        <v>5</v>
      </c>
      <c r="B5" s="3" t="s">
        <v>6</v>
      </c>
    </row>
    <row r="6" customFormat="false" ht="15" hidden="false" customHeight="true" outlineLevel="0" collapsed="false">
      <c r="A6" s="2" t="s">
        <v>7</v>
      </c>
      <c r="B6" s="3" t="s">
        <v>8</v>
      </c>
    </row>
    <row r="7" customFormat="false" ht="15" hidden="false" customHeight="true" outlineLevel="0" collapsed="false">
      <c r="A7" s="2" t="s">
        <v>9</v>
      </c>
      <c r="B7" s="3" t="s">
        <v>10</v>
      </c>
    </row>
    <row r="8" customFormat="false" ht="15" hidden="false" customHeight="true" outlineLevel="0" collapsed="false">
      <c r="A8" s="2" t="s">
        <v>11</v>
      </c>
      <c r="B8" s="3" t="s">
        <v>12</v>
      </c>
    </row>
    <row r="9" customFormat="false" ht="15" hidden="false" customHeight="true" outlineLevel="0" collapsed="false">
      <c r="A9" s="2" t="s">
        <v>13</v>
      </c>
      <c r="B9" s="3" t="s">
        <v>14</v>
      </c>
    </row>
    <row r="10" customFormat="false" ht="15" hidden="false" customHeight="true" outlineLevel="0" collapsed="false">
      <c r="A10" s="2" t="s">
        <v>15</v>
      </c>
      <c r="B10" s="3" t="s">
        <v>16</v>
      </c>
    </row>
    <row r="11" customFormat="false" ht="15" hidden="false" customHeight="true" outlineLevel="0" collapsed="false">
      <c r="A11" s="2" t="s">
        <v>17</v>
      </c>
      <c r="B11" s="3" t="s">
        <v>18</v>
      </c>
    </row>
    <row r="12" customFormat="false" ht="26.25" hidden="false" customHeight="true" outlineLevel="0" collapsed="false">
      <c r="A12" s="2" t="s">
        <v>19</v>
      </c>
      <c r="B12" s="3" t="s">
        <v>20</v>
      </c>
    </row>
    <row r="13" customFormat="false" ht="26.25" hidden="false" customHeight="true" outlineLevel="0" collapsed="false">
      <c r="A13" s="2" t="s">
        <v>21</v>
      </c>
      <c r="B13" s="3" t="s">
        <v>22</v>
      </c>
    </row>
    <row r="14" customFormat="false" ht="26.25" hidden="false" customHeight="true" outlineLevel="0" collapsed="false">
      <c r="A14" s="2" t="s">
        <v>23</v>
      </c>
      <c r="B14" s="3" t="s">
        <v>24</v>
      </c>
    </row>
    <row r="15" customFormat="false" ht="15" hidden="false" customHeight="true" outlineLevel="0" collapsed="false">
      <c r="A15" s="2" t="s">
        <v>25</v>
      </c>
      <c r="B15" s="3" t="s">
        <v>26</v>
      </c>
    </row>
    <row r="16" customFormat="false" ht="15" hidden="false" customHeight="true" outlineLevel="0" collapsed="false">
      <c r="A16" s="2" t="s">
        <v>27</v>
      </c>
      <c r="B16" s="3" t="s">
        <v>28</v>
      </c>
    </row>
    <row r="17" customFormat="false" ht="26.25" hidden="false" customHeight="true" outlineLevel="0" collapsed="false">
      <c r="A17" s="2" t="s">
        <v>29</v>
      </c>
      <c r="B17" s="3" t="s">
        <v>30</v>
      </c>
    </row>
    <row r="18" customFormat="false" ht="15" hidden="false" customHeight="true" outlineLevel="0" collapsed="false">
      <c r="A18" s="2" t="s">
        <v>31</v>
      </c>
      <c r="B18" s="3" t="s">
        <v>32</v>
      </c>
    </row>
    <row r="19" customFormat="false" ht="15" hidden="false" customHeight="true" outlineLevel="0" collapsed="false">
      <c r="A19" s="2"/>
      <c r="B19" s="3"/>
    </row>
    <row r="20" customFormat="false" ht="39" hidden="false" customHeight="true" outlineLevel="0" collapsed="false">
      <c r="A20" s="2" t="s">
        <v>33</v>
      </c>
      <c r="B20" s="3" t="s">
        <v>34</v>
      </c>
    </row>
    <row r="21" customFormat="false" ht="64.5" hidden="false" customHeight="true" outlineLevel="0" collapsed="false">
      <c r="A21" s="2" t="s">
        <v>35</v>
      </c>
      <c r="B21" s="3" t="s">
        <v>36</v>
      </c>
    </row>
    <row r="22" customFormat="false" ht="26.25" hidden="false" customHeight="true" outlineLevel="0" collapsed="false">
      <c r="A22" s="2"/>
      <c r="B22" s="3" t="s">
        <v>37</v>
      </c>
    </row>
    <row r="23" customFormat="false" ht="64.5" hidden="false" customHeight="true" outlineLevel="0" collapsed="false">
      <c r="A23" s="2"/>
      <c r="B23" s="3" t="s">
        <v>38</v>
      </c>
    </row>
    <row r="24" customFormat="false" ht="26.25" hidden="false" customHeight="true" outlineLevel="0" collapsed="false">
      <c r="A24" s="2"/>
      <c r="B24" s="3" t="s">
        <v>39</v>
      </c>
    </row>
    <row r="25" customFormat="false" ht="39" hidden="false" customHeight="true" outlineLevel="0" collapsed="false">
      <c r="A25" s="2" t="s">
        <v>40</v>
      </c>
      <c r="B25" s="3" t="s">
        <v>41</v>
      </c>
    </row>
    <row r="26" customFormat="false" ht="15" hidden="false" customHeight="true" outlineLevel="0" collapsed="false">
      <c r="A26" s="2"/>
      <c r="B26" s="3"/>
    </row>
    <row r="27" customFormat="false" ht="64.5" hidden="false" customHeight="true" outlineLevel="0" collapsed="false">
      <c r="A27" s="2" t="s">
        <v>42</v>
      </c>
      <c r="B27" s="3" t="s">
        <v>43</v>
      </c>
    </row>
    <row r="28" customFormat="false" ht="115.5" hidden="false" customHeight="true" outlineLevel="0" collapsed="false">
      <c r="A28" s="2" t="s">
        <v>44</v>
      </c>
      <c r="B28" s="3" t="s">
        <v>45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C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6"/>
    <col collapsed="false" customWidth="true" hidden="false" outlineLevel="0" max="2" min="2" style="1" width="34"/>
    <col collapsed="false" customWidth="true" hidden="false" outlineLevel="0" max="3" min="3" style="1" width="24"/>
    <col collapsed="false" customWidth="true" hidden="false" outlineLevel="0" max="4" min="4" style="1" width="8"/>
    <col collapsed="false" customWidth="true" hidden="false" outlineLevel="0" max="6" min="5" style="1" width="10"/>
    <col collapsed="false" customWidth="true" hidden="false" outlineLevel="0" max="7" min="7" style="1" width="11"/>
    <col collapsed="false" customWidth="true" hidden="false" outlineLevel="0" max="8" min="8" style="1" width="8"/>
    <col collapsed="false" customWidth="true" hidden="false" outlineLevel="0" max="10" min="9" style="1" width="10"/>
    <col collapsed="false" customWidth="true" hidden="false" outlineLevel="0" max="11" min="11" style="1" width="12"/>
    <col collapsed="false" customWidth="true" hidden="false" outlineLevel="0" max="12" min="12" style="1" width="11"/>
    <col collapsed="false" customWidth="true" hidden="false" outlineLevel="0" max="13" min="13" style="1" width="10"/>
    <col collapsed="false" customWidth="true" hidden="false" outlineLevel="0" max="14" min="14" style="1" width="11"/>
    <col collapsed="false" customWidth="true" hidden="false" outlineLevel="0" max="15" min="15" style="1" width="12"/>
    <col collapsed="false" customWidth="true" hidden="false" outlineLevel="0" max="16" min="16" style="1" width="11"/>
    <col collapsed="false" customWidth="true" hidden="false" outlineLevel="0" max="18" min="17" style="1" width="12"/>
    <col collapsed="false" customWidth="true" hidden="false" outlineLevel="0" max="19" min="19" style="1" width="8"/>
    <col collapsed="false" customWidth="true" hidden="false" outlineLevel="0" max="20" min="20" style="1" width="12"/>
    <col collapsed="false" customWidth="true" hidden="false" outlineLevel="0" max="22" min="21" style="1" width="11"/>
    <col collapsed="false" customWidth="true" hidden="false" outlineLevel="0" max="24" min="23" style="1" width="10"/>
    <col collapsed="false" customWidth="true" hidden="false" outlineLevel="0" max="25" min="25" style="1" width="11"/>
    <col collapsed="false" customWidth="true" hidden="false" outlineLevel="0" max="28" min="26" style="1" width="10"/>
    <col collapsed="false" customWidth="true" hidden="false" outlineLevel="0" max="29" min="29" style="1" width="22"/>
  </cols>
  <sheetData>
    <row r="1" customFormat="false" ht="31.5" hidden="false" customHeight="true" outlineLevel="0" collapsed="false">
      <c r="A1" s="4" t="s">
        <v>46</v>
      </c>
      <c r="B1" s="4" t="s">
        <v>47</v>
      </c>
      <c r="C1" s="4" t="s">
        <v>48</v>
      </c>
      <c r="D1" s="4" t="s">
        <v>49</v>
      </c>
      <c r="E1" s="4" t="s">
        <v>50</v>
      </c>
      <c r="F1" s="4" t="s">
        <v>51</v>
      </c>
      <c r="G1" s="4" t="s">
        <v>52</v>
      </c>
      <c r="H1" s="4" t="s">
        <v>53</v>
      </c>
      <c r="I1" s="4" t="s">
        <v>54</v>
      </c>
      <c r="J1" s="4" t="s">
        <v>55</v>
      </c>
      <c r="K1" s="4" t="s">
        <v>56</v>
      </c>
      <c r="L1" s="4" t="s">
        <v>57</v>
      </c>
      <c r="M1" s="4" t="s">
        <v>58</v>
      </c>
      <c r="N1" s="4" t="s">
        <v>59</v>
      </c>
      <c r="O1" s="4" t="s">
        <v>11</v>
      </c>
      <c r="P1" s="4" t="s">
        <v>60</v>
      </c>
      <c r="Q1" s="4" t="s">
        <v>61</v>
      </c>
      <c r="R1" s="4" t="s">
        <v>62</v>
      </c>
      <c r="S1" s="4" t="s">
        <v>63</v>
      </c>
      <c r="T1" s="4" t="s">
        <v>64</v>
      </c>
      <c r="U1" s="4" t="s">
        <v>65</v>
      </c>
      <c r="V1" s="4" t="s">
        <v>66</v>
      </c>
      <c r="W1" s="4" t="s">
        <v>67</v>
      </c>
      <c r="X1" s="4" t="s">
        <v>68</v>
      </c>
      <c r="Y1" s="4" t="s">
        <v>69</v>
      </c>
      <c r="Z1" s="4" t="s">
        <v>70</v>
      </c>
      <c r="AA1" s="4" t="s">
        <v>71</v>
      </c>
      <c r="AB1" s="4" t="s">
        <v>72</v>
      </c>
      <c r="AC1" s="4" t="s">
        <v>73</v>
      </c>
    </row>
    <row r="2" customFormat="false" ht="15" hidden="false" customHeight="true" outlineLevel="0" collapsed="false">
      <c r="A2" s="5" t="s">
        <v>74</v>
      </c>
      <c r="B2" s="5" t="s">
        <v>75</v>
      </c>
      <c r="C2" s="5" t="s">
        <v>76</v>
      </c>
      <c r="D2" s="5" t="n">
        <v>106</v>
      </c>
      <c r="E2" s="6" t="n">
        <v>0.133494228135727</v>
      </c>
      <c r="F2" s="6" t="n">
        <v>0.0212232262556976</v>
      </c>
      <c r="G2" s="7" t="n">
        <v>3.17452964127852E-010</v>
      </c>
      <c r="H2" s="6" t="n">
        <f aca="false">EXP(E2)</f>
        <v>1.14281466994491</v>
      </c>
      <c r="I2" s="6" t="n">
        <f aca="false">EXP(E2-1.96*F2)</f>
        <v>1.09625157856858</v>
      </c>
      <c r="J2" s="6" t="n">
        <f aca="false">EXP(E2+1.96*F2)</f>
        <v>1.19135552036935</v>
      </c>
      <c r="K2" s="6" t="n">
        <v>0.165289633030586</v>
      </c>
      <c r="L2" s="7" t="n">
        <v>1.54206530403994E-008</v>
      </c>
      <c r="M2" s="6" t="n">
        <v>0.240169527256228</v>
      </c>
      <c r="N2" s="7" t="n">
        <v>3.37862560191847E-005</v>
      </c>
      <c r="O2" s="6" t="n">
        <v>-0.00792288611101539</v>
      </c>
      <c r="P2" s="7" t="n">
        <v>0.0400853832359264</v>
      </c>
      <c r="Q2" s="7" t="n">
        <v>0.00770693381037364</v>
      </c>
      <c r="R2" s="6" t="n">
        <v>0.008</v>
      </c>
      <c r="S2" s="5" t="n">
        <v>1</v>
      </c>
      <c r="T2" s="6" t="n">
        <v>0.136109000449493</v>
      </c>
      <c r="U2" s="7" t="n">
        <v>1.5211689911509E-009</v>
      </c>
      <c r="V2" s="6" t="n">
        <v>0.89125</v>
      </c>
      <c r="W2" s="6" t="n">
        <v>0.127835425418444</v>
      </c>
      <c r="X2" s="6" t="n">
        <v>0.138079740493861</v>
      </c>
      <c r="Y2" s="7" t="n">
        <v>3.94937496555301E-009</v>
      </c>
      <c r="Z2" s="5" t="s">
        <v>77</v>
      </c>
      <c r="AA2" s="6" t="n">
        <v>0.0330561813007661</v>
      </c>
      <c r="AB2" s="6" t="n">
        <v>0.00159149855988473</v>
      </c>
      <c r="AC2" s="5" t="s">
        <v>78</v>
      </c>
    </row>
    <row r="3" customFormat="false" ht="15" hidden="false" customHeight="true" outlineLevel="0" collapsed="false">
      <c r="A3" s="5" t="s">
        <v>74</v>
      </c>
      <c r="B3" s="5" t="s">
        <v>79</v>
      </c>
      <c r="C3" s="5" t="s">
        <v>80</v>
      </c>
      <c r="D3" s="5" t="n">
        <v>115</v>
      </c>
      <c r="E3" s="6" t="n">
        <v>0.000981166932401211</v>
      </c>
      <c r="F3" s="6" t="n">
        <v>0.000453066045394669</v>
      </c>
      <c r="G3" s="7" t="n">
        <v>0.0303405671099605</v>
      </c>
      <c r="H3" s="6" t="s">
        <v>81</v>
      </c>
      <c r="I3" s="6" t="s">
        <v>81</v>
      </c>
      <c r="J3" s="6" t="s">
        <v>81</v>
      </c>
      <c r="K3" s="6" t="n">
        <v>0.0015502073145389</v>
      </c>
      <c r="L3" s="7" t="n">
        <v>0.0308497812969097</v>
      </c>
      <c r="M3" s="6" t="n">
        <v>0.0023294300325198</v>
      </c>
      <c r="N3" s="7" t="n">
        <v>0.0248796543775727</v>
      </c>
      <c r="O3" s="6" t="n">
        <v>-0.000109136164405496</v>
      </c>
      <c r="P3" s="7" t="n">
        <v>0.145583801297365</v>
      </c>
      <c r="Q3" s="7" t="n">
        <v>0.0331153262549739</v>
      </c>
      <c r="R3" s="6" t="n">
        <v>0.0312</v>
      </c>
      <c r="S3" s="5" t="n">
        <v>0</v>
      </c>
      <c r="T3" s="6"/>
      <c r="U3" s="7"/>
      <c r="V3" s="6"/>
      <c r="W3" s="6" t="n">
        <v>0.000728857092270997</v>
      </c>
      <c r="X3" s="6" t="n">
        <v>0.00108553868559929</v>
      </c>
      <c r="Y3" s="7" t="n">
        <v>0.140952639500182</v>
      </c>
      <c r="Z3" s="5" t="s">
        <v>77</v>
      </c>
      <c r="AA3" s="6" t="n">
        <v>0.0352508673691591</v>
      </c>
      <c r="AB3" s="6" t="n">
        <v>0.000413027638846138</v>
      </c>
      <c r="AC3" s="5" t="s">
        <v>82</v>
      </c>
    </row>
    <row r="4" customFormat="false" ht="15" hidden="false" customHeight="true" outlineLevel="0" collapsed="false">
      <c r="A4" s="5" t="s">
        <v>74</v>
      </c>
      <c r="B4" s="5" t="s">
        <v>83</v>
      </c>
      <c r="C4" s="5" t="s">
        <v>84</v>
      </c>
      <c r="D4" s="5" t="n">
        <v>114</v>
      </c>
      <c r="E4" s="6" t="n">
        <v>0.085784575297348</v>
      </c>
      <c r="F4" s="6" t="n">
        <v>0.0231662292997347</v>
      </c>
      <c r="G4" s="7" t="n">
        <v>0.000213063859359713</v>
      </c>
      <c r="H4" s="6" t="n">
        <f aca="false">EXP(E4)</f>
        <v>1.08957158238685</v>
      </c>
      <c r="I4" s="6" t="n">
        <f aca="false">EXP(E4-1.96*F4)</f>
        <v>1.04120507245929</v>
      </c>
      <c r="J4" s="6" t="n">
        <f aca="false">EXP(E4+1.96*F4)</f>
        <v>1.14018483442549</v>
      </c>
      <c r="K4" s="6" t="n">
        <v>0.0641188820694463</v>
      </c>
      <c r="L4" s="7" t="n">
        <v>0.0573736421683807</v>
      </c>
      <c r="M4" s="6" t="n">
        <v>0.0425600264083324</v>
      </c>
      <c r="N4" s="7" t="n">
        <v>0.441618692608766</v>
      </c>
      <c r="O4" s="6" t="n">
        <v>0.00342926912707199</v>
      </c>
      <c r="P4" s="7" t="n">
        <v>0.38914420984342</v>
      </c>
      <c r="Q4" s="7" t="n">
        <v>9.30067997127758E-007</v>
      </c>
      <c r="R4" s="6" t="s">
        <v>85</v>
      </c>
      <c r="S4" s="5" t="n">
        <v>0</v>
      </c>
      <c r="T4" s="6"/>
      <c r="U4" s="7"/>
      <c r="V4" s="6"/>
      <c r="W4" s="6" t="n">
        <v>0.0794351516877043</v>
      </c>
      <c r="X4" s="6" t="n">
        <v>0.0916187926591093</v>
      </c>
      <c r="Y4" s="7" t="n">
        <v>0.000510633782699814</v>
      </c>
      <c r="Z4" s="5" t="s">
        <v>77</v>
      </c>
      <c r="AA4" s="6" t="n">
        <v>0.0350788529625043</v>
      </c>
      <c r="AB4" s="6" t="n">
        <v>0.00235110192244218</v>
      </c>
      <c r="AC4" s="5" t="s">
        <v>78</v>
      </c>
    </row>
    <row r="5" customFormat="false" ht="15" hidden="false" customHeight="true" outlineLevel="0" collapsed="false">
      <c r="A5" s="5" t="s">
        <v>74</v>
      </c>
      <c r="B5" s="5" t="s">
        <v>86</v>
      </c>
      <c r="C5" s="5" t="s">
        <v>87</v>
      </c>
      <c r="D5" s="5" t="n">
        <v>115</v>
      </c>
      <c r="E5" s="6" t="n">
        <v>0.105322069371282</v>
      </c>
      <c r="F5" s="6" t="n">
        <v>0.0142115464566719</v>
      </c>
      <c r="G5" s="7" t="n">
        <v>1.25330724995948E-013</v>
      </c>
      <c r="H5" s="6" t="n">
        <f aca="false">EXP(E5)</f>
        <v>1.11106839383612</v>
      </c>
      <c r="I5" s="6" t="n">
        <f aca="false">EXP(E5-1.96*F5)</f>
        <v>1.08054704745444</v>
      </c>
      <c r="J5" s="6" t="n">
        <f aca="false">EXP(E5+1.96*F5)</f>
        <v>1.14245185222592</v>
      </c>
      <c r="K5" s="6" t="n">
        <v>0.104432691261865</v>
      </c>
      <c r="L5" s="7" t="n">
        <v>2.41038279252398E-008</v>
      </c>
      <c r="M5" s="6" t="n">
        <v>0.112809472446451</v>
      </c>
      <c r="N5" s="7" t="n">
        <v>0.00149895934084415</v>
      </c>
      <c r="O5" s="6" t="n">
        <v>-0.000582930432522163</v>
      </c>
      <c r="P5" s="7" t="n">
        <v>0.813065220938117</v>
      </c>
      <c r="Q5" s="7" t="n">
        <v>8.31837051726218E-012</v>
      </c>
      <c r="R5" s="6" t="s">
        <v>85</v>
      </c>
      <c r="S5" s="5" t="n">
        <v>2</v>
      </c>
      <c r="T5" s="6" t="n">
        <v>0.0981587576673628</v>
      </c>
      <c r="U5" s="7" t="n">
        <v>2.33095175597041E-011</v>
      </c>
      <c r="V5" s="6" t="n">
        <v>0.5095</v>
      </c>
      <c r="W5" s="6" t="n">
        <v>0.101233917367216</v>
      </c>
      <c r="X5" s="6" t="n">
        <v>0.108468066528651</v>
      </c>
      <c r="Y5" s="7" t="n">
        <v>3.46463563217848E-012</v>
      </c>
      <c r="Z5" s="5" t="s">
        <v>77</v>
      </c>
      <c r="AA5" s="6" t="n">
        <v>0.0352508673691591</v>
      </c>
      <c r="AB5" s="6" t="n">
        <v>0.00119636417765366</v>
      </c>
      <c r="AC5" s="5" t="s">
        <v>78</v>
      </c>
    </row>
    <row r="6" customFormat="false" ht="15" hidden="false" customHeight="true" outlineLevel="0" collapsed="false">
      <c r="A6" s="5" t="s">
        <v>88</v>
      </c>
      <c r="B6" s="5" t="s">
        <v>75</v>
      </c>
      <c r="C6" s="5" t="s">
        <v>76</v>
      </c>
      <c r="D6" s="5" t="n">
        <v>464</v>
      </c>
      <c r="E6" s="6" t="n">
        <v>0.187434525933196</v>
      </c>
      <c r="F6" s="6" t="n">
        <v>0.0395378980603419</v>
      </c>
      <c r="G6" s="7" t="n">
        <v>2.13055222766608E-006</v>
      </c>
      <c r="H6" s="6" t="n">
        <f aca="false">EXP(E6)</f>
        <v>1.20615127520646</v>
      </c>
      <c r="I6" s="6" t="n">
        <f aca="false">EXP(E6-1.96*F6)</f>
        <v>1.11621137007599</v>
      </c>
      <c r="J6" s="6" t="n">
        <f aca="false">EXP(E6+1.96*F6)</f>
        <v>1.30333818278802</v>
      </c>
      <c r="K6" s="6" t="n">
        <v>0.228991300015454</v>
      </c>
      <c r="L6" s="7" t="n">
        <v>0.000174638488602059</v>
      </c>
      <c r="M6" s="6" t="n">
        <v>0.333822026461788</v>
      </c>
      <c r="N6" s="7" t="n">
        <v>0.00088356290965633</v>
      </c>
      <c r="O6" s="6" t="n">
        <v>-0.00265822550153373</v>
      </c>
      <c r="P6" s="7" t="n">
        <v>0.11067758839124</v>
      </c>
      <c r="Q6" s="7" t="n">
        <v>3.75095865695128E-005</v>
      </c>
      <c r="R6" s="6" t="s">
        <v>89</v>
      </c>
      <c r="S6" s="5" t="n">
        <v>0</v>
      </c>
      <c r="T6" s="6"/>
      <c r="U6" s="7"/>
      <c r="V6" s="6"/>
      <c r="W6" s="6" t="n">
        <v>0.169280957795439</v>
      </c>
      <c r="X6" s="6" t="n">
        <v>0.19829233930521</v>
      </c>
      <c r="Y6" s="7" t="n">
        <v>2.62141837049084E-005</v>
      </c>
      <c r="Z6" s="5" t="s">
        <v>77</v>
      </c>
      <c r="AA6" s="6" t="n">
        <v>0.0458925200775182</v>
      </c>
      <c r="AB6" s="6" t="n">
        <v>0.00504094168186832</v>
      </c>
      <c r="AC6" s="5" t="s">
        <v>78</v>
      </c>
    </row>
    <row r="7" customFormat="false" ht="15" hidden="false" customHeight="true" outlineLevel="0" collapsed="false">
      <c r="A7" s="5" t="s">
        <v>88</v>
      </c>
      <c r="B7" s="5" t="s">
        <v>79</v>
      </c>
      <c r="C7" s="5" t="s">
        <v>80</v>
      </c>
      <c r="D7" s="5" t="n">
        <v>484</v>
      </c>
      <c r="E7" s="6" t="n">
        <v>0.00128819604522055</v>
      </c>
      <c r="F7" s="6" t="n">
        <v>0.000878439083753758</v>
      </c>
      <c r="G7" s="7" t="n">
        <v>0.142522928197655</v>
      </c>
      <c r="H7" s="6" t="s">
        <v>81</v>
      </c>
      <c r="I7" s="6" t="s">
        <v>81</v>
      </c>
      <c r="J7" s="6" t="s">
        <v>81</v>
      </c>
      <c r="K7" s="6" t="n">
        <v>0.000176847443025443</v>
      </c>
      <c r="L7" s="7" t="n">
        <v>0.912297662081537</v>
      </c>
      <c r="M7" s="6" t="n">
        <v>0.00140370519666684</v>
      </c>
      <c r="N7" s="7" t="n">
        <v>0.535279610453031</v>
      </c>
      <c r="O7" s="6" t="n">
        <v>-2.04468340650874E-006</v>
      </c>
      <c r="P7" s="7" t="n">
        <v>0.955835555962415</v>
      </c>
      <c r="Q7" s="7" t="n">
        <v>0.259538310731412</v>
      </c>
      <c r="R7" s="6" t="n">
        <v>0.2638</v>
      </c>
      <c r="S7" s="5" t="n">
        <v>0</v>
      </c>
      <c r="T7" s="6"/>
      <c r="U7" s="7"/>
      <c r="V7" s="6"/>
      <c r="W7" s="6" t="n">
        <v>0.00115259252343211</v>
      </c>
      <c r="X7" s="6" t="n">
        <v>0.00142328649337229</v>
      </c>
      <c r="Y7" s="7" t="n">
        <v>0.187719184144952</v>
      </c>
      <c r="Z7" s="5" t="s">
        <v>77</v>
      </c>
      <c r="AA7" s="6" t="n">
        <v>0.0479092649307965</v>
      </c>
      <c r="AB7" s="6" t="n">
        <v>0.0013979899242324</v>
      </c>
      <c r="AC7" s="5" t="s">
        <v>82</v>
      </c>
    </row>
    <row r="8" customFormat="false" ht="15" hidden="false" customHeight="true" outlineLevel="0" collapsed="false">
      <c r="A8" s="5" t="s">
        <v>88</v>
      </c>
      <c r="B8" s="5" t="s">
        <v>83</v>
      </c>
      <c r="C8" s="5" t="s">
        <v>84</v>
      </c>
      <c r="D8" s="5" t="n">
        <v>480</v>
      </c>
      <c r="E8" s="6" t="n">
        <v>0.121646954775747</v>
      </c>
      <c r="F8" s="6" t="n">
        <v>0.0410701638889498</v>
      </c>
      <c r="G8" s="7" t="n">
        <v>0.00305717176296422</v>
      </c>
      <c r="H8" s="6" t="n">
        <f aca="false">EXP(E8)</f>
        <v>1.12935531788862</v>
      </c>
      <c r="I8" s="6" t="n">
        <f aca="false">EXP(E8-1.96*F8)</f>
        <v>1.04200780484079</v>
      </c>
      <c r="J8" s="6" t="n">
        <f aca="false">EXP(E8+1.96*F8)</f>
        <v>1.22402483754734</v>
      </c>
      <c r="K8" s="6" t="n">
        <v>0.155293525961197</v>
      </c>
      <c r="L8" s="7" t="n">
        <v>0.0265351039844834</v>
      </c>
      <c r="M8" s="6" t="n">
        <v>0.123633506639536</v>
      </c>
      <c r="N8" s="7" t="n">
        <v>0.242798058722598</v>
      </c>
      <c r="O8" s="6" t="n">
        <v>-3.51489989769487E-005</v>
      </c>
      <c r="P8" s="7" t="n">
        <v>0.983735450775448</v>
      </c>
      <c r="Q8" s="7" t="n">
        <v>7.03582288900522E-005</v>
      </c>
      <c r="R8" s="6" t="s">
        <v>89</v>
      </c>
      <c r="S8" s="5" t="n">
        <v>1</v>
      </c>
      <c r="T8" s="6" t="n">
        <v>0.126852612449819</v>
      </c>
      <c r="U8" s="7" t="n">
        <v>0.00186154280020075</v>
      </c>
      <c r="V8" s="6" t="n">
        <v>0.898</v>
      </c>
      <c r="W8" s="6" t="n">
        <v>0.114230540502886</v>
      </c>
      <c r="X8" s="6" t="n">
        <v>0.130825834621142</v>
      </c>
      <c r="Y8" s="7" t="n">
        <v>0.00555506267521543</v>
      </c>
      <c r="Z8" s="5" t="s">
        <v>77</v>
      </c>
      <c r="AA8" s="6" t="n">
        <v>0.047543358521562</v>
      </c>
      <c r="AB8" s="6" t="n">
        <v>0.00629647766718489</v>
      </c>
      <c r="AC8" s="5" t="s">
        <v>78</v>
      </c>
    </row>
    <row r="9" customFormat="false" ht="15" hidden="false" customHeight="true" outlineLevel="0" collapsed="false">
      <c r="A9" s="5" t="s">
        <v>88</v>
      </c>
      <c r="B9" s="5" t="s">
        <v>86</v>
      </c>
      <c r="C9" s="5" t="s">
        <v>87</v>
      </c>
      <c r="D9" s="5" t="n">
        <v>481</v>
      </c>
      <c r="E9" s="6" t="n">
        <v>0.181289525779766</v>
      </c>
      <c r="F9" s="6" t="n">
        <v>0.0244872772825024</v>
      </c>
      <c r="G9" s="7" t="n">
        <v>1.32724095960769E-013</v>
      </c>
      <c r="H9" s="6" t="n">
        <f aca="false">EXP(E9)</f>
        <v>1.198762201616</v>
      </c>
      <c r="I9" s="6" t="n">
        <f aca="false">EXP(E9-1.96*F9)</f>
        <v>1.1425863974255</v>
      </c>
      <c r="J9" s="6" t="n">
        <f aca="false">EXP(E9+1.96*F9)</f>
        <v>1.25769991596363</v>
      </c>
      <c r="K9" s="6" t="n">
        <v>0.22529901034413</v>
      </c>
      <c r="L9" s="7" t="n">
        <v>2.63372072240804E-009</v>
      </c>
      <c r="M9" s="6" t="n">
        <v>0.221291291648163</v>
      </c>
      <c r="N9" s="7" t="n">
        <v>0.00041869744284903</v>
      </c>
      <c r="O9" s="6" t="n">
        <v>-0.000715630152689204</v>
      </c>
      <c r="P9" s="7" t="n">
        <v>0.48516513636539</v>
      </c>
      <c r="Q9" s="7" t="n">
        <v>7.28414626680993E-012</v>
      </c>
      <c r="R9" s="6" t="s">
        <v>89</v>
      </c>
      <c r="S9" s="5" t="n">
        <v>2</v>
      </c>
      <c r="T9" s="6" t="n">
        <v>0.17996271105534</v>
      </c>
      <c r="U9" s="7" t="n">
        <v>3.24422941861778E-013</v>
      </c>
      <c r="V9" s="6" t="n">
        <v>0.952909090909091</v>
      </c>
      <c r="W9" s="6" t="n">
        <v>0.176619475689501</v>
      </c>
      <c r="X9" s="6" t="n">
        <v>0.186602148408541</v>
      </c>
      <c r="Y9" s="7" t="n">
        <v>1.53803810825438E-012</v>
      </c>
      <c r="Z9" s="5" t="s">
        <v>77</v>
      </c>
      <c r="AA9" s="6" t="n">
        <v>0.0476394393471552</v>
      </c>
      <c r="AB9" s="6" t="n">
        <v>0.00268583470079214</v>
      </c>
      <c r="AC9" s="5" t="s">
        <v>78</v>
      </c>
    </row>
    <row r="11" customFormat="false" ht="15" hidden="false" customHeight="true" outlineLevel="0" collapsed="false">
      <c r="A11" s="8" t="s">
        <v>90</v>
      </c>
    </row>
    <row r="12" customFormat="false" ht="15" hidden="false" customHeight="true" outlineLevel="0" collapsed="false">
      <c r="A12" s="8" t="s">
        <v>91</v>
      </c>
    </row>
    <row r="13" customFormat="false" ht="15" hidden="false" customHeight="true" outlineLevel="0" collapsed="false">
      <c r="A13" s="8" t="s">
        <v>92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4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1" width="18"/>
    <col collapsed="false" customWidth="true" hidden="false" outlineLevel="0" max="3" min="3" style="1" width="34"/>
    <col collapsed="false" customWidth="true" hidden="false" outlineLevel="0" max="4" min="4" style="1" width="24"/>
    <col collapsed="false" customWidth="true" hidden="false" outlineLevel="0" max="5" min="5" style="1" width="42"/>
    <col collapsed="false" customWidth="true" hidden="false" outlineLevel="0" max="6" min="6" style="1" width="8"/>
    <col collapsed="false" customWidth="true" hidden="false" outlineLevel="0" max="9" min="7" style="1" width="11"/>
    <col collapsed="false" customWidth="true" hidden="false" outlineLevel="0" max="10" min="10" style="1" width="9"/>
    <col collapsed="false" customWidth="true" hidden="false" outlineLevel="0" max="12" min="11" style="1" width="10"/>
    <col collapsed="false" customWidth="true" hidden="false" outlineLevel="0" max="13" min="13" style="1" width="14"/>
    <col collapsed="false" customWidth="true" hidden="false" outlineLevel="0" max="14" min="14" style="1" width="70"/>
  </cols>
  <sheetData>
    <row r="1" customFormat="false" ht="31.5" hidden="false" customHeight="true" outlineLevel="0" collapsed="false">
      <c r="A1" s="4" t="s">
        <v>46</v>
      </c>
      <c r="B1" s="4" t="s">
        <v>93</v>
      </c>
      <c r="C1" s="4" t="s">
        <v>47</v>
      </c>
      <c r="D1" s="4" t="s">
        <v>48</v>
      </c>
      <c r="E1" s="4" t="s">
        <v>94</v>
      </c>
      <c r="F1" s="4" t="s">
        <v>49</v>
      </c>
      <c r="G1" s="4" t="s">
        <v>95</v>
      </c>
      <c r="H1" s="4" t="s">
        <v>96</v>
      </c>
      <c r="I1" s="4" t="s">
        <v>97</v>
      </c>
      <c r="J1" s="4" t="s">
        <v>53</v>
      </c>
      <c r="K1" s="4" t="s">
        <v>54</v>
      </c>
      <c r="L1" s="4" t="s">
        <v>55</v>
      </c>
      <c r="M1" s="4" t="s">
        <v>73</v>
      </c>
      <c r="N1" s="4" t="s">
        <v>98</v>
      </c>
    </row>
    <row r="2" customFormat="false" ht="15" hidden="false" customHeight="true" outlineLevel="0" collapsed="false">
      <c r="A2" s="5" t="s">
        <v>74</v>
      </c>
      <c r="B2" s="5" t="s">
        <v>99</v>
      </c>
      <c r="C2" s="5" t="s">
        <v>75</v>
      </c>
      <c r="D2" s="5" t="s">
        <v>76</v>
      </c>
      <c r="E2" s="5" t="s">
        <v>100</v>
      </c>
      <c r="F2" s="5" t="n">
        <v>106</v>
      </c>
      <c r="G2" s="6" t="n">
        <v>0.133494228135727</v>
      </c>
      <c r="H2" s="6" t="n">
        <v>0.0212232262556976</v>
      </c>
      <c r="I2" s="7" t="n">
        <v>3.17452964127852E-010</v>
      </c>
      <c r="J2" s="6" t="n">
        <f aca="false">EXP(G2)</f>
        <v>1.14281466994491</v>
      </c>
      <c r="K2" s="6" t="n">
        <f aca="false">EXP(G2-1.96*H2)</f>
        <v>1.09625157856858</v>
      </c>
      <c r="L2" s="6" t="n">
        <f aca="false">EXP(G2+1.96*H2)</f>
        <v>1.19135552036935</v>
      </c>
      <c r="M2" s="5" t="s">
        <v>78</v>
      </c>
      <c r="N2" s="5"/>
    </row>
    <row r="3" customFormat="false" ht="15" hidden="false" customHeight="true" outlineLevel="0" collapsed="false">
      <c r="A3" s="5" t="s">
        <v>74</v>
      </c>
      <c r="B3" s="5" t="s">
        <v>99</v>
      </c>
      <c r="C3" s="5" t="s">
        <v>75</v>
      </c>
      <c r="D3" s="5" t="s">
        <v>76</v>
      </c>
      <c r="E3" s="5" t="s">
        <v>101</v>
      </c>
      <c r="F3" s="5" t="n">
        <v>106</v>
      </c>
      <c r="G3" s="6" t="n">
        <v>0.133494228135727</v>
      </c>
      <c r="H3" s="6" t="n">
        <v>0.0212232262556976</v>
      </c>
      <c r="I3" s="7" t="n">
        <v>3.17452964127852E-010</v>
      </c>
      <c r="J3" s="6" t="n">
        <f aca="false">EXP(G3)</f>
        <v>1.14281466994491</v>
      </c>
      <c r="K3" s="6" t="n">
        <f aca="false">EXP(G3-1.96*H3)</f>
        <v>1.09625157856858</v>
      </c>
      <c r="L3" s="6" t="n">
        <f aca="false">EXP(G3+1.96*H3)</f>
        <v>1.19135552036935</v>
      </c>
      <c r="M3" s="5" t="s">
        <v>78</v>
      </c>
      <c r="N3" s="5" t="s">
        <v>102</v>
      </c>
    </row>
    <row r="4" customFormat="false" ht="15" hidden="false" customHeight="true" outlineLevel="0" collapsed="false">
      <c r="A4" s="5" t="s">
        <v>74</v>
      </c>
      <c r="B4" s="5" t="s">
        <v>99</v>
      </c>
      <c r="C4" s="5" t="s">
        <v>75</v>
      </c>
      <c r="D4" s="5" t="s">
        <v>76</v>
      </c>
      <c r="E4" s="5" t="s">
        <v>103</v>
      </c>
      <c r="F4" s="5" t="n">
        <v>106</v>
      </c>
      <c r="G4" s="6" t="n">
        <v>0.133494228135727</v>
      </c>
      <c r="H4" s="6" t="n">
        <v>0.0181654362523023</v>
      </c>
      <c r="I4" s="7" t="n">
        <v>1.9998838807914E-013</v>
      </c>
      <c r="J4" s="6" t="n">
        <f aca="false">EXP(G4)</f>
        <v>1.14281466994491</v>
      </c>
      <c r="K4" s="6" t="n">
        <f aca="false">EXP(G4-1.96*H4)</f>
        <v>1.10284143618767</v>
      </c>
      <c r="L4" s="6" t="n">
        <f aca="false">EXP(G4+1.96*H4)</f>
        <v>1.18423676059542</v>
      </c>
      <c r="M4" s="5" t="s">
        <v>78</v>
      </c>
      <c r="N4" s="5" t="s">
        <v>104</v>
      </c>
    </row>
    <row r="5" customFormat="false" ht="15" hidden="false" customHeight="true" outlineLevel="0" collapsed="false">
      <c r="A5" s="5" t="s">
        <v>74</v>
      </c>
      <c r="B5" s="5" t="s">
        <v>99</v>
      </c>
      <c r="C5" s="5" t="s">
        <v>75</v>
      </c>
      <c r="D5" s="5" t="s">
        <v>76</v>
      </c>
      <c r="E5" s="5" t="s">
        <v>105</v>
      </c>
      <c r="F5" s="5" t="n">
        <v>106</v>
      </c>
      <c r="G5" s="6" t="n">
        <v>0.133204407107757</v>
      </c>
      <c r="H5" s="6" t="n">
        <v>0.0212395866478736</v>
      </c>
      <c r="I5" s="7" t="n">
        <v>3.57549590758198E-010</v>
      </c>
      <c r="J5" s="6" t="n">
        <f aca="false">EXP(G5)</f>
        <v>1.14248350621391</v>
      </c>
      <c r="K5" s="6" t="n">
        <f aca="false">EXP(G5-1.96*H5)</f>
        <v>1.09589876578794</v>
      </c>
      <c r="L5" s="6" t="n">
        <f aca="false">EXP(G5+1.96*H5)</f>
        <v>1.191048482505</v>
      </c>
      <c r="M5" s="5" t="s">
        <v>78</v>
      </c>
      <c r="N5" s="5" t="s">
        <v>106</v>
      </c>
    </row>
    <row r="6" customFormat="false" ht="15" hidden="false" customHeight="true" outlineLevel="0" collapsed="false">
      <c r="A6" s="5" t="s">
        <v>74</v>
      </c>
      <c r="B6" s="5" t="s">
        <v>99</v>
      </c>
      <c r="C6" s="5" t="s">
        <v>75</v>
      </c>
      <c r="D6" s="5" t="s">
        <v>76</v>
      </c>
      <c r="E6" s="5" t="s">
        <v>107</v>
      </c>
      <c r="F6" s="5" t="n">
        <v>106</v>
      </c>
      <c r="G6" s="6" t="n">
        <v>0.136170150364565</v>
      </c>
      <c r="H6" s="6" t="n">
        <v>0.0184091862132975</v>
      </c>
      <c r="I6" s="7" t="n">
        <v>1.39443724054827E-013</v>
      </c>
      <c r="J6" s="6" t="n">
        <f aca="false">EXP(G6)</f>
        <v>1.14587684837208</v>
      </c>
      <c r="K6" s="6" t="n">
        <f aca="false">EXP(G6-1.96*H6)</f>
        <v>1.10526833808687</v>
      </c>
      <c r="L6" s="6" t="n">
        <f aca="false">EXP(G6+1.96*H6)</f>
        <v>1.1879773502857</v>
      </c>
      <c r="M6" s="5" t="s">
        <v>78</v>
      </c>
      <c r="N6" s="5"/>
    </row>
    <row r="7" customFormat="false" ht="15" hidden="false" customHeight="true" outlineLevel="0" collapsed="false">
      <c r="A7" s="5" t="s">
        <v>74</v>
      </c>
      <c r="B7" s="5" t="s">
        <v>99</v>
      </c>
      <c r="C7" s="5" t="s">
        <v>75</v>
      </c>
      <c r="D7" s="5" t="s">
        <v>76</v>
      </c>
      <c r="E7" s="5" t="s">
        <v>108</v>
      </c>
      <c r="F7" s="5" t="n">
        <v>106</v>
      </c>
      <c r="G7" s="6" t="n">
        <v>0.240169527256228</v>
      </c>
      <c r="H7" s="6" t="n">
        <v>0.055404222032796</v>
      </c>
      <c r="I7" s="7" t="n">
        <v>3.37862560191847E-005</v>
      </c>
      <c r="J7" s="6" t="n">
        <f aca="false">EXP(G7)</f>
        <v>1.2714646799704</v>
      </c>
      <c r="K7" s="6" t="n">
        <f aca="false">EXP(G7-1.96*H7)</f>
        <v>1.14062602004226</v>
      </c>
      <c r="L7" s="6" t="n">
        <f aca="false">EXP(G7+1.96*H7)</f>
        <v>1.41731154997878</v>
      </c>
      <c r="M7" s="5" t="s">
        <v>78</v>
      </c>
      <c r="N7" s="5"/>
    </row>
    <row r="8" customFormat="false" ht="15" hidden="false" customHeight="true" outlineLevel="0" collapsed="false">
      <c r="A8" s="5" t="s">
        <v>74</v>
      </c>
      <c r="B8" s="5" t="s">
        <v>99</v>
      </c>
      <c r="C8" s="5" t="s">
        <v>75</v>
      </c>
      <c r="D8" s="5" t="s">
        <v>76</v>
      </c>
      <c r="E8" s="5" t="s">
        <v>109</v>
      </c>
      <c r="F8" s="5" t="n">
        <v>106</v>
      </c>
      <c r="G8" s="6" t="n">
        <v>0.193999057447119</v>
      </c>
      <c r="H8" s="6" t="n">
        <v>0.0333393182414597</v>
      </c>
      <c r="I8" s="7" t="n">
        <v>0</v>
      </c>
      <c r="J8" s="6" t="n">
        <f aca="false">EXP(G8)</f>
        <v>1.21409513860682</v>
      </c>
      <c r="K8" s="6" t="n">
        <f aca="false">EXP(G8-1.96*H8)</f>
        <v>1.13729654430282</v>
      </c>
      <c r="L8" s="6" t="n">
        <f aca="false">EXP(G8+1.96*H8)</f>
        <v>1.29607973661111</v>
      </c>
      <c r="M8" s="5" t="s">
        <v>78</v>
      </c>
      <c r="N8" s="5" t="s">
        <v>110</v>
      </c>
    </row>
    <row r="9" customFormat="false" ht="15" hidden="false" customHeight="true" outlineLevel="0" collapsed="false">
      <c r="A9" s="5" t="s">
        <v>74</v>
      </c>
      <c r="B9" s="5" t="s">
        <v>99</v>
      </c>
      <c r="C9" s="5" t="s">
        <v>75</v>
      </c>
      <c r="D9" s="5" t="s">
        <v>76</v>
      </c>
      <c r="E9" s="5" t="s">
        <v>111</v>
      </c>
      <c r="F9" s="5" t="n">
        <v>106</v>
      </c>
      <c r="G9" s="6" t="n">
        <v>0.106849470315055</v>
      </c>
      <c r="H9" s="6" t="n">
        <v>0.0294376193123048</v>
      </c>
      <c r="I9" s="7" t="n">
        <v>0.000283760385097136</v>
      </c>
      <c r="J9" s="6" t="n">
        <f aca="false">EXP(G9)</f>
        <v>1.11276673744509</v>
      </c>
      <c r="K9" s="6" t="n">
        <f aca="false">EXP(G9-1.96*H9)</f>
        <v>1.05037971955208</v>
      </c>
      <c r="L9" s="6" t="n">
        <f aca="false">EXP(G9+1.96*H9)</f>
        <v>1.17885921530571</v>
      </c>
      <c r="M9" s="5" t="s">
        <v>78</v>
      </c>
      <c r="N9" s="5"/>
    </row>
    <row r="10" customFormat="false" ht="15" hidden="false" customHeight="true" outlineLevel="0" collapsed="false">
      <c r="A10" s="5" t="s">
        <v>74</v>
      </c>
      <c r="B10" s="5" t="s">
        <v>99</v>
      </c>
      <c r="C10" s="5" t="s">
        <v>75</v>
      </c>
      <c r="D10" s="5" t="s">
        <v>76</v>
      </c>
      <c r="E10" s="5" t="s">
        <v>112</v>
      </c>
      <c r="F10" s="5" t="n">
        <v>106</v>
      </c>
      <c r="G10" s="6" t="n">
        <v>0.165289633030586</v>
      </c>
      <c r="H10" s="6" t="n">
        <v>0.0292195503845898</v>
      </c>
      <c r="I10" s="7" t="n">
        <v>1.54206530403994E-008</v>
      </c>
      <c r="J10" s="6" t="n">
        <f aca="false">EXP(G10)</f>
        <v>1.17973475938744</v>
      </c>
      <c r="K10" s="6" t="n">
        <f aca="false">EXP(G10-1.96*H10)</f>
        <v>1.11406926262077</v>
      </c>
      <c r="L10" s="6" t="n">
        <f aca="false">EXP(G10+1.96*H10)</f>
        <v>1.24927071341407</v>
      </c>
      <c r="M10" s="5" t="s">
        <v>78</v>
      </c>
      <c r="N10" s="5"/>
    </row>
    <row r="11" customFormat="false" ht="15" hidden="false" customHeight="true" outlineLevel="0" collapsed="false">
      <c r="A11" s="5" t="s">
        <v>74</v>
      </c>
      <c r="B11" s="5" t="s">
        <v>99</v>
      </c>
      <c r="C11" s="5" t="s">
        <v>75</v>
      </c>
      <c r="D11" s="5" t="s">
        <v>76</v>
      </c>
      <c r="E11" s="5" t="s">
        <v>113</v>
      </c>
      <c r="F11" s="5" t="n">
        <v>106</v>
      </c>
      <c r="G11" s="6" t="n">
        <v>0.166084431580041</v>
      </c>
      <c r="H11" s="6" t="n">
        <v>0.0291197724950021</v>
      </c>
      <c r="I11" s="7" t="n">
        <v>1.17376553269912E-008</v>
      </c>
      <c r="J11" s="6" t="n">
        <f aca="false">EXP(G11)</f>
        <v>1.1806727835837</v>
      </c>
      <c r="K11" s="6" t="n">
        <f aca="false">EXP(G11-1.96*H11)</f>
        <v>1.11517314236598</v>
      </c>
      <c r="L11" s="6" t="n">
        <f aca="false">EXP(G11+1.96*H11)</f>
        <v>1.25001954309782</v>
      </c>
      <c r="M11" s="5" t="s">
        <v>78</v>
      </c>
      <c r="N11" s="5"/>
    </row>
    <row r="12" customFormat="false" ht="15" hidden="false" customHeight="true" outlineLevel="0" collapsed="false">
      <c r="A12" s="5" t="s">
        <v>74</v>
      </c>
      <c r="B12" s="5" t="s">
        <v>99</v>
      </c>
      <c r="C12" s="5" t="s">
        <v>75</v>
      </c>
      <c r="D12" s="5" t="s">
        <v>76</v>
      </c>
      <c r="E12" s="5" t="s">
        <v>114</v>
      </c>
      <c r="F12" s="5" t="n">
        <v>106</v>
      </c>
      <c r="G12" s="6" t="n">
        <v>0.129883827265723</v>
      </c>
      <c r="H12" s="6" t="n">
        <v>0.0571814265746728</v>
      </c>
      <c r="I12" s="7" t="n">
        <v>0.0251601979256026</v>
      </c>
      <c r="J12" s="6" t="n">
        <f aca="false">EXP(G12)</f>
        <v>1.13869609020203</v>
      </c>
      <c r="K12" s="6" t="n">
        <f aca="false">EXP(G12-1.96*H12)</f>
        <v>1.01796774319701</v>
      </c>
      <c r="L12" s="6" t="n">
        <f aca="false">EXP(G12+1.96*H12)</f>
        <v>1.27374250756633</v>
      </c>
      <c r="M12" s="5" t="s">
        <v>78</v>
      </c>
      <c r="N12" s="5"/>
    </row>
    <row r="13" customFormat="false" ht="15" hidden="false" customHeight="true" outlineLevel="0" collapsed="false">
      <c r="A13" s="5" t="s">
        <v>74</v>
      </c>
      <c r="B13" s="5" t="s">
        <v>99</v>
      </c>
      <c r="C13" s="5" t="s">
        <v>75</v>
      </c>
      <c r="D13" s="5" t="s">
        <v>76</v>
      </c>
      <c r="E13" s="5" t="s">
        <v>115</v>
      </c>
      <c r="F13" s="5" t="n">
        <v>106</v>
      </c>
      <c r="G13" s="6" t="n">
        <v>0.129883827265723</v>
      </c>
      <c r="H13" s="6" t="n">
        <v>0.0595269060241319</v>
      </c>
      <c r="I13" s="7" t="n">
        <v>0.0313439180722039</v>
      </c>
      <c r="J13" s="6" t="n">
        <f aca="false">EXP(G13)</f>
        <v>1.13869609020203</v>
      </c>
      <c r="K13" s="6" t="n">
        <f aca="false">EXP(G13-1.96*H13)</f>
        <v>1.01329874349489</v>
      </c>
      <c r="L13" s="6" t="n">
        <f aca="false">EXP(G13+1.96*H13)</f>
        <v>1.27961155993276</v>
      </c>
      <c r="M13" s="5" t="s">
        <v>78</v>
      </c>
      <c r="N13" s="5" t="s">
        <v>116</v>
      </c>
    </row>
    <row r="14" customFormat="false" ht="15" hidden="false" customHeight="true" outlineLevel="0" collapsed="false">
      <c r="A14" s="5" t="s">
        <v>74</v>
      </c>
      <c r="B14" s="5" t="s">
        <v>99</v>
      </c>
      <c r="C14" s="5" t="s">
        <v>75</v>
      </c>
      <c r="D14" s="5" t="s">
        <v>76</v>
      </c>
      <c r="E14" s="5" t="s">
        <v>117</v>
      </c>
      <c r="F14" s="5" t="n">
        <v>106</v>
      </c>
      <c r="G14" s="6" t="n">
        <v>0.156291993379629</v>
      </c>
      <c r="H14" s="6" t="n">
        <v>0.0367262066760418</v>
      </c>
      <c r="I14" s="7" t="n">
        <v>4.54467018284383E-005</v>
      </c>
      <c r="J14" s="6" t="n">
        <f aca="false">EXP(G14)</f>
        <v>1.1691675424351</v>
      </c>
      <c r="K14" s="6" t="n">
        <f aca="false">EXP(G14-1.96*H14)</f>
        <v>1.0879646186639</v>
      </c>
      <c r="L14" s="6" t="n">
        <f aca="false">EXP(G14+1.96*H14)</f>
        <v>1.25643124678305</v>
      </c>
      <c r="M14" s="5" t="s">
        <v>78</v>
      </c>
      <c r="N14" s="5"/>
    </row>
    <row r="15" customFormat="false" ht="15" hidden="false" customHeight="true" outlineLevel="0" collapsed="false">
      <c r="A15" s="5" t="s">
        <v>74</v>
      </c>
      <c r="B15" s="5" t="s">
        <v>99</v>
      </c>
      <c r="C15" s="5" t="s">
        <v>75</v>
      </c>
      <c r="D15" s="5" t="s">
        <v>76</v>
      </c>
      <c r="E15" s="5" t="s">
        <v>118</v>
      </c>
      <c r="F15" s="5" t="n">
        <v>106</v>
      </c>
      <c r="G15" s="6" t="n">
        <v>0.156291993379629</v>
      </c>
      <c r="H15" s="6" t="n">
        <v>0.0348215530924816</v>
      </c>
      <c r="I15" s="7" t="n">
        <v>1.84499884483795E-005</v>
      </c>
      <c r="J15" s="6" t="n">
        <f aca="false">EXP(G15)</f>
        <v>1.1691675424351</v>
      </c>
      <c r="K15" s="6" t="n">
        <f aca="false">EXP(G15-1.96*H15)</f>
        <v>1.09203371273964</v>
      </c>
      <c r="L15" s="6" t="n">
        <f aca="false">EXP(G15+1.96*H15)</f>
        <v>1.25174958093041</v>
      </c>
      <c r="M15" s="5" t="s">
        <v>78</v>
      </c>
      <c r="N15" s="5" t="s">
        <v>119</v>
      </c>
    </row>
    <row r="16" customFormat="false" ht="15" hidden="false" customHeight="true" outlineLevel="0" collapsed="false">
      <c r="A16" s="5" t="s">
        <v>74</v>
      </c>
      <c r="B16" s="5" t="s">
        <v>99</v>
      </c>
      <c r="C16" s="5" t="s">
        <v>75</v>
      </c>
      <c r="D16" s="5" t="s">
        <v>76</v>
      </c>
      <c r="E16" s="5" t="s">
        <v>120</v>
      </c>
      <c r="F16" s="5" t="n">
        <v>106</v>
      </c>
      <c r="G16" s="6" t="n">
        <v>0.134286396728622</v>
      </c>
      <c r="H16" s="6" t="n">
        <v>0.0224825022441559</v>
      </c>
      <c r="I16" s="7" t="n">
        <v>2.33030884805656E-009</v>
      </c>
      <c r="J16" s="6" t="n">
        <f aca="false">EXP(G16)</f>
        <v>1.1437203305045</v>
      </c>
      <c r="K16" s="6" t="n">
        <f aca="false">EXP(G16-1.96*H16)</f>
        <v>1.09441578622529</v>
      </c>
      <c r="L16" s="6" t="n">
        <f aca="false">EXP(G16+1.96*H16)</f>
        <v>1.19524609465023</v>
      </c>
      <c r="M16" s="5" t="s">
        <v>78</v>
      </c>
      <c r="N16" s="5"/>
    </row>
    <row r="17" customFormat="false" ht="15" hidden="false" customHeight="true" outlineLevel="0" collapsed="false">
      <c r="A17" s="5" t="s">
        <v>74</v>
      </c>
      <c r="B17" s="5" t="s">
        <v>99</v>
      </c>
      <c r="C17" s="5" t="s">
        <v>75</v>
      </c>
      <c r="D17" s="5" t="s">
        <v>76</v>
      </c>
      <c r="E17" s="5" t="s">
        <v>121</v>
      </c>
      <c r="F17" s="5" t="n">
        <v>106</v>
      </c>
      <c r="G17" s="6" t="n">
        <v>0.198779809143776</v>
      </c>
      <c r="H17" s="6" t="n">
        <v>0.0358288878761219</v>
      </c>
      <c r="I17" s="7" t="n">
        <v>2.21439347977651E-007</v>
      </c>
      <c r="J17" s="6" t="n">
        <f aca="false">EXP(G17)</f>
        <v>1.21991332256554</v>
      </c>
      <c r="K17" s="6" t="n">
        <f aca="false">EXP(G17-1.96*H17)</f>
        <v>1.13718417951086</v>
      </c>
      <c r="L17" s="6" t="n">
        <f aca="false">EXP(G17+1.96*H17)</f>
        <v>1.30866093759149</v>
      </c>
      <c r="M17" s="5" t="s">
        <v>78</v>
      </c>
      <c r="N17" s="5"/>
    </row>
    <row r="18" customFormat="false" ht="15" hidden="false" customHeight="true" outlineLevel="0" collapsed="false">
      <c r="A18" s="5" t="s">
        <v>74</v>
      </c>
      <c r="B18" s="5" t="s">
        <v>99</v>
      </c>
      <c r="C18" s="5" t="s">
        <v>75</v>
      </c>
      <c r="D18" s="5" t="s">
        <v>76</v>
      </c>
      <c r="E18" s="5" t="s">
        <v>122</v>
      </c>
      <c r="F18" s="5" t="n">
        <v>106</v>
      </c>
      <c r="G18" s="6" t="n">
        <v>0.150593782096172</v>
      </c>
      <c r="H18" s="6" t="n">
        <v>1.28631282517659</v>
      </c>
      <c r="I18" s="7" t="n">
        <v>0.906801416470372</v>
      </c>
      <c r="J18" s="6" t="n">
        <f aca="false">EXP(G18)</f>
        <v>1.162524323959</v>
      </c>
      <c r="K18" s="6" t="s">
        <v>81</v>
      </c>
      <c r="L18" s="6" t="s">
        <v>81</v>
      </c>
      <c r="M18" s="5" t="s">
        <v>78</v>
      </c>
      <c r="N18" s="5" t="s">
        <v>123</v>
      </c>
    </row>
    <row r="19" customFormat="false" ht="15" hidden="false" customHeight="true" outlineLevel="0" collapsed="false">
      <c r="A19" s="5" t="s">
        <v>74</v>
      </c>
      <c r="B19" s="5" t="s">
        <v>99</v>
      </c>
      <c r="C19" s="5" t="s">
        <v>75</v>
      </c>
      <c r="D19" s="5" t="s">
        <v>76</v>
      </c>
      <c r="E19" s="5" t="s">
        <v>124</v>
      </c>
      <c r="F19" s="5" t="n">
        <v>106</v>
      </c>
      <c r="G19" s="6" t="n">
        <v>0.264150943396226</v>
      </c>
      <c r="H19" s="6"/>
      <c r="I19" s="7" t="n">
        <v>0.00841699357053399</v>
      </c>
      <c r="J19" s="6" t="n">
        <f aca="false">EXP(G19)</f>
        <v>1.3023247587877</v>
      </c>
      <c r="K19" s="6" t="s">
        <v>81</v>
      </c>
      <c r="L19" s="6" t="s">
        <v>81</v>
      </c>
      <c r="M19" s="5" t="s">
        <v>78</v>
      </c>
      <c r="N19" s="5" t="s">
        <v>125</v>
      </c>
    </row>
    <row r="20" customFormat="false" ht="15" hidden="false" customHeight="true" outlineLevel="0" collapsed="false">
      <c r="A20" s="5" t="s">
        <v>74</v>
      </c>
      <c r="B20" s="5" t="s">
        <v>99</v>
      </c>
      <c r="C20" s="5" t="s">
        <v>79</v>
      </c>
      <c r="D20" s="5" t="s">
        <v>80</v>
      </c>
      <c r="E20" s="5" t="s">
        <v>100</v>
      </c>
      <c r="F20" s="5" t="n">
        <v>115</v>
      </c>
      <c r="G20" s="6" t="n">
        <v>0.000981166932401211</v>
      </c>
      <c r="H20" s="6" t="n">
        <v>0.000453066045394669</v>
      </c>
      <c r="I20" s="7" t="n">
        <v>0.0303405671099605</v>
      </c>
      <c r="J20" s="6" t="s">
        <v>81</v>
      </c>
      <c r="K20" s="6" t="s">
        <v>81</v>
      </c>
      <c r="L20" s="6" t="s">
        <v>81</v>
      </c>
      <c r="M20" s="5" t="s">
        <v>82</v>
      </c>
      <c r="N20" s="5"/>
    </row>
    <row r="21" customFormat="false" ht="15" hidden="false" customHeight="true" outlineLevel="0" collapsed="false">
      <c r="A21" s="5" t="s">
        <v>74</v>
      </c>
      <c r="B21" s="5" t="s">
        <v>99</v>
      </c>
      <c r="C21" s="5" t="s">
        <v>79</v>
      </c>
      <c r="D21" s="5" t="s">
        <v>80</v>
      </c>
      <c r="E21" s="5" t="s">
        <v>101</v>
      </c>
      <c r="F21" s="5" t="n">
        <v>115</v>
      </c>
      <c r="G21" s="6" t="n">
        <v>0.000981166932401211</v>
      </c>
      <c r="H21" s="6" t="n">
        <v>0.000453066045394669</v>
      </c>
      <c r="I21" s="7" t="n">
        <v>0.0303405671099605</v>
      </c>
      <c r="J21" s="6" t="s">
        <v>81</v>
      </c>
      <c r="K21" s="6" t="s">
        <v>81</v>
      </c>
      <c r="L21" s="6" t="s">
        <v>81</v>
      </c>
      <c r="M21" s="5" t="s">
        <v>82</v>
      </c>
      <c r="N21" s="5" t="s">
        <v>102</v>
      </c>
    </row>
    <row r="22" customFormat="false" ht="15" hidden="false" customHeight="true" outlineLevel="0" collapsed="false">
      <c r="A22" s="5" t="s">
        <v>74</v>
      </c>
      <c r="B22" s="5" t="s">
        <v>99</v>
      </c>
      <c r="C22" s="5" t="s">
        <v>79</v>
      </c>
      <c r="D22" s="5" t="s">
        <v>80</v>
      </c>
      <c r="E22" s="5" t="s">
        <v>103</v>
      </c>
      <c r="F22" s="5" t="n">
        <v>115</v>
      </c>
      <c r="G22" s="6" t="n">
        <v>0.000981166932401211</v>
      </c>
      <c r="H22" s="6" t="n">
        <v>0.000404147044631286</v>
      </c>
      <c r="I22" s="7" t="n">
        <v>0.015192921248311</v>
      </c>
      <c r="J22" s="6" t="s">
        <v>81</v>
      </c>
      <c r="K22" s="6" t="s">
        <v>81</v>
      </c>
      <c r="L22" s="6" t="s">
        <v>81</v>
      </c>
      <c r="M22" s="5" t="s">
        <v>82</v>
      </c>
      <c r="N22" s="5" t="s">
        <v>104</v>
      </c>
    </row>
    <row r="23" customFormat="false" ht="15" hidden="false" customHeight="true" outlineLevel="0" collapsed="false">
      <c r="A23" s="5" t="s">
        <v>74</v>
      </c>
      <c r="B23" s="5" t="s">
        <v>99</v>
      </c>
      <c r="C23" s="5" t="s">
        <v>79</v>
      </c>
      <c r="D23" s="5" t="s">
        <v>80</v>
      </c>
      <c r="E23" s="5" t="s">
        <v>105</v>
      </c>
      <c r="F23" s="5" t="n">
        <v>115</v>
      </c>
      <c r="G23" s="6" t="n">
        <v>0.000981186891556428</v>
      </c>
      <c r="H23" s="6" t="n">
        <v>0.000453059111425659</v>
      </c>
      <c r="I23" s="7" t="n">
        <v>0.030334663529819</v>
      </c>
      <c r="J23" s="6" t="s">
        <v>81</v>
      </c>
      <c r="K23" s="6" t="s">
        <v>81</v>
      </c>
      <c r="L23" s="6" t="s">
        <v>81</v>
      </c>
      <c r="M23" s="5" t="s">
        <v>82</v>
      </c>
      <c r="N23" s="5" t="s">
        <v>106</v>
      </c>
    </row>
    <row r="24" customFormat="false" ht="15" hidden="false" customHeight="true" outlineLevel="0" collapsed="false">
      <c r="A24" s="5" t="s">
        <v>74</v>
      </c>
      <c r="B24" s="5" t="s">
        <v>99</v>
      </c>
      <c r="C24" s="5" t="s">
        <v>79</v>
      </c>
      <c r="D24" s="5" t="s">
        <v>80</v>
      </c>
      <c r="E24" s="5" t="s">
        <v>107</v>
      </c>
      <c r="F24" s="5" t="n">
        <v>115</v>
      </c>
      <c r="G24" s="6" t="n">
        <v>0.000994975167879196</v>
      </c>
      <c r="H24" s="6" t="n">
        <v>0.000407774264457454</v>
      </c>
      <c r="I24" s="7" t="n">
        <v>0.0146866674261333</v>
      </c>
      <c r="J24" s="6" t="s">
        <v>81</v>
      </c>
      <c r="K24" s="6" t="s">
        <v>81</v>
      </c>
      <c r="L24" s="6" t="s">
        <v>81</v>
      </c>
      <c r="M24" s="5" t="s">
        <v>82</v>
      </c>
      <c r="N24" s="5"/>
    </row>
    <row r="25" customFormat="false" ht="15" hidden="false" customHeight="true" outlineLevel="0" collapsed="false">
      <c r="A25" s="5" t="s">
        <v>74</v>
      </c>
      <c r="B25" s="5" t="s">
        <v>99</v>
      </c>
      <c r="C25" s="5" t="s">
        <v>79</v>
      </c>
      <c r="D25" s="5" t="s">
        <v>80</v>
      </c>
      <c r="E25" s="5" t="s">
        <v>108</v>
      </c>
      <c r="F25" s="5" t="n">
        <v>115</v>
      </c>
      <c r="G25" s="6" t="n">
        <v>0.0023294300325198</v>
      </c>
      <c r="H25" s="6" t="n">
        <v>0.00102455919473339</v>
      </c>
      <c r="I25" s="7" t="n">
        <v>0.0248796543775727</v>
      </c>
      <c r="J25" s="6" t="s">
        <v>81</v>
      </c>
      <c r="K25" s="6" t="s">
        <v>81</v>
      </c>
      <c r="L25" s="6" t="s">
        <v>81</v>
      </c>
      <c r="M25" s="5" t="s">
        <v>82</v>
      </c>
      <c r="N25" s="5"/>
    </row>
    <row r="26" customFormat="false" ht="15" hidden="false" customHeight="true" outlineLevel="0" collapsed="false">
      <c r="A26" s="5" t="s">
        <v>74</v>
      </c>
      <c r="B26" s="5" t="s">
        <v>99</v>
      </c>
      <c r="C26" s="5" t="s">
        <v>79</v>
      </c>
      <c r="D26" s="5" t="s">
        <v>80</v>
      </c>
      <c r="E26" s="5" t="s">
        <v>109</v>
      </c>
      <c r="F26" s="5" t="n">
        <v>115</v>
      </c>
      <c r="G26" s="6" t="n">
        <v>0.00175635627375233</v>
      </c>
      <c r="H26" s="6" t="n">
        <v>0.000905964153906243</v>
      </c>
      <c r="I26" s="7" t="n">
        <v>0.026</v>
      </c>
      <c r="J26" s="6" t="s">
        <v>81</v>
      </c>
      <c r="K26" s="6" t="s">
        <v>81</v>
      </c>
      <c r="L26" s="6" t="s">
        <v>81</v>
      </c>
      <c r="M26" s="5" t="s">
        <v>82</v>
      </c>
      <c r="N26" s="5" t="s">
        <v>110</v>
      </c>
    </row>
    <row r="27" customFormat="false" ht="15" hidden="false" customHeight="true" outlineLevel="0" collapsed="false">
      <c r="A27" s="5" t="s">
        <v>74</v>
      </c>
      <c r="B27" s="5" t="s">
        <v>99</v>
      </c>
      <c r="C27" s="5" t="s">
        <v>79</v>
      </c>
      <c r="D27" s="5" t="s">
        <v>80</v>
      </c>
      <c r="E27" s="5" t="s">
        <v>111</v>
      </c>
      <c r="F27" s="5" t="n">
        <v>115</v>
      </c>
      <c r="G27" s="6" t="n">
        <v>0.000385506224066368</v>
      </c>
      <c r="H27" s="6" t="n">
        <v>0.000647131060476103</v>
      </c>
      <c r="I27" s="7" t="n">
        <v>0.551365073722773</v>
      </c>
      <c r="J27" s="6" t="s">
        <v>81</v>
      </c>
      <c r="K27" s="6" t="s">
        <v>81</v>
      </c>
      <c r="L27" s="6" t="s">
        <v>81</v>
      </c>
      <c r="M27" s="5" t="s">
        <v>82</v>
      </c>
      <c r="N27" s="5"/>
    </row>
    <row r="28" customFormat="false" ht="15" hidden="false" customHeight="true" outlineLevel="0" collapsed="false">
      <c r="A28" s="5" t="s">
        <v>74</v>
      </c>
      <c r="B28" s="5" t="s">
        <v>99</v>
      </c>
      <c r="C28" s="5" t="s">
        <v>79</v>
      </c>
      <c r="D28" s="5" t="s">
        <v>80</v>
      </c>
      <c r="E28" s="5" t="s">
        <v>112</v>
      </c>
      <c r="F28" s="5" t="n">
        <v>115</v>
      </c>
      <c r="G28" s="6" t="n">
        <v>0.0015502073145389</v>
      </c>
      <c r="H28" s="6" t="n">
        <v>0.000718019335531955</v>
      </c>
      <c r="I28" s="7" t="n">
        <v>0.0308497812969097</v>
      </c>
      <c r="J28" s="6" t="s">
        <v>81</v>
      </c>
      <c r="K28" s="6" t="s">
        <v>81</v>
      </c>
      <c r="L28" s="6" t="s">
        <v>81</v>
      </c>
      <c r="M28" s="5" t="s">
        <v>82</v>
      </c>
      <c r="N28" s="5"/>
    </row>
    <row r="29" customFormat="false" ht="15" hidden="false" customHeight="true" outlineLevel="0" collapsed="false">
      <c r="A29" s="5" t="s">
        <v>74</v>
      </c>
      <c r="B29" s="5" t="s">
        <v>99</v>
      </c>
      <c r="C29" s="5" t="s">
        <v>79</v>
      </c>
      <c r="D29" s="5" t="s">
        <v>80</v>
      </c>
      <c r="E29" s="5" t="s">
        <v>113</v>
      </c>
      <c r="F29" s="5" t="n">
        <v>115</v>
      </c>
      <c r="G29" s="6" t="n">
        <v>0.00155798538129299</v>
      </c>
      <c r="H29" s="6" t="n">
        <v>0.000741785513215318</v>
      </c>
      <c r="I29" s="7" t="n">
        <v>0.0357008868820459</v>
      </c>
      <c r="J29" s="6" t="s">
        <v>81</v>
      </c>
      <c r="K29" s="6" t="s">
        <v>81</v>
      </c>
      <c r="L29" s="6" t="s">
        <v>81</v>
      </c>
      <c r="M29" s="5" t="s">
        <v>82</v>
      </c>
      <c r="N29" s="5"/>
    </row>
    <row r="30" customFormat="false" ht="15" hidden="false" customHeight="true" outlineLevel="0" collapsed="false">
      <c r="A30" s="5" t="s">
        <v>74</v>
      </c>
      <c r="B30" s="5" t="s">
        <v>99</v>
      </c>
      <c r="C30" s="5" t="s">
        <v>79</v>
      </c>
      <c r="D30" s="5" t="s">
        <v>80</v>
      </c>
      <c r="E30" s="5" t="s">
        <v>114</v>
      </c>
      <c r="F30" s="5" t="n">
        <v>115</v>
      </c>
      <c r="G30" s="6" t="n">
        <v>0.000230939276336581</v>
      </c>
      <c r="H30" s="6" t="n">
        <v>0.00159532479544841</v>
      </c>
      <c r="I30" s="7" t="n">
        <v>0.88515595384118</v>
      </c>
      <c r="J30" s="6" t="s">
        <v>81</v>
      </c>
      <c r="K30" s="6" t="s">
        <v>81</v>
      </c>
      <c r="L30" s="6" t="s">
        <v>81</v>
      </c>
      <c r="M30" s="5" t="s">
        <v>82</v>
      </c>
      <c r="N30" s="5"/>
    </row>
    <row r="31" customFormat="false" ht="15" hidden="false" customHeight="true" outlineLevel="0" collapsed="false">
      <c r="A31" s="5" t="s">
        <v>74</v>
      </c>
      <c r="B31" s="5" t="s">
        <v>99</v>
      </c>
      <c r="C31" s="5" t="s">
        <v>79</v>
      </c>
      <c r="D31" s="5" t="s">
        <v>80</v>
      </c>
      <c r="E31" s="5" t="s">
        <v>115</v>
      </c>
      <c r="F31" s="5" t="n">
        <v>115</v>
      </c>
      <c r="G31" s="6" t="n">
        <v>0.000230939276336581</v>
      </c>
      <c r="H31" s="6" t="n">
        <v>0.00170866290071213</v>
      </c>
      <c r="I31" s="7" t="n">
        <v>0.892725393531253</v>
      </c>
      <c r="J31" s="6" t="s">
        <v>81</v>
      </c>
      <c r="K31" s="6" t="s">
        <v>81</v>
      </c>
      <c r="L31" s="6" t="s">
        <v>81</v>
      </c>
      <c r="M31" s="5" t="s">
        <v>82</v>
      </c>
      <c r="N31" s="5" t="s">
        <v>116</v>
      </c>
    </row>
    <row r="32" customFormat="false" ht="15" hidden="false" customHeight="true" outlineLevel="0" collapsed="false">
      <c r="A32" s="5" t="s">
        <v>74</v>
      </c>
      <c r="B32" s="5" t="s">
        <v>99</v>
      </c>
      <c r="C32" s="5" t="s">
        <v>79</v>
      </c>
      <c r="D32" s="5" t="s">
        <v>80</v>
      </c>
      <c r="E32" s="5" t="s">
        <v>117</v>
      </c>
      <c r="F32" s="5" t="n">
        <v>115</v>
      </c>
      <c r="G32" s="6" t="n">
        <v>0.00146240718369895</v>
      </c>
      <c r="H32" s="6" t="n">
        <v>0.00080536055547069</v>
      </c>
      <c r="I32" s="7" t="n">
        <v>0.0720229077171602</v>
      </c>
      <c r="J32" s="6" t="s">
        <v>81</v>
      </c>
      <c r="K32" s="6" t="s">
        <v>81</v>
      </c>
      <c r="L32" s="6" t="s">
        <v>81</v>
      </c>
      <c r="M32" s="5" t="s">
        <v>82</v>
      </c>
      <c r="N32" s="5"/>
    </row>
    <row r="33" customFormat="false" ht="15" hidden="false" customHeight="true" outlineLevel="0" collapsed="false">
      <c r="A33" s="5" t="s">
        <v>74</v>
      </c>
      <c r="B33" s="5" t="s">
        <v>99</v>
      </c>
      <c r="C33" s="5" t="s">
        <v>79</v>
      </c>
      <c r="D33" s="5" t="s">
        <v>80</v>
      </c>
      <c r="E33" s="5" t="s">
        <v>118</v>
      </c>
      <c r="F33" s="5" t="n">
        <v>115</v>
      </c>
      <c r="G33" s="6" t="n">
        <v>0.00146240718369895</v>
      </c>
      <c r="H33" s="6" t="n">
        <v>0.00083770757409848</v>
      </c>
      <c r="I33" s="7" t="n">
        <v>0.0835528541228498</v>
      </c>
      <c r="J33" s="6" t="s">
        <v>81</v>
      </c>
      <c r="K33" s="6" t="s">
        <v>81</v>
      </c>
      <c r="L33" s="6" t="s">
        <v>81</v>
      </c>
      <c r="M33" s="5" t="s">
        <v>82</v>
      </c>
      <c r="N33" s="5" t="s">
        <v>119</v>
      </c>
    </row>
    <row r="34" customFormat="false" ht="15" hidden="false" customHeight="true" outlineLevel="0" collapsed="false">
      <c r="A34" s="5" t="s">
        <v>74</v>
      </c>
      <c r="B34" s="5" t="s">
        <v>99</v>
      </c>
      <c r="C34" s="5" t="s">
        <v>79</v>
      </c>
      <c r="D34" s="5" t="s">
        <v>80</v>
      </c>
      <c r="E34" s="5" t="s">
        <v>120</v>
      </c>
      <c r="F34" s="5" t="n">
        <v>115</v>
      </c>
      <c r="G34" s="6" t="n">
        <v>0.00106739794458066</v>
      </c>
      <c r="H34" s="6" t="n">
        <v>0.000476619642963825</v>
      </c>
      <c r="I34" s="7" t="n">
        <v>0.0251222757802581</v>
      </c>
      <c r="J34" s="6" t="s">
        <v>81</v>
      </c>
      <c r="K34" s="6" t="s">
        <v>81</v>
      </c>
      <c r="L34" s="6" t="s">
        <v>81</v>
      </c>
      <c r="M34" s="5" t="s">
        <v>82</v>
      </c>
      <c r="N34" s="5"/>
    </row>
    <row r="35" customFormat="false" ht="15" hidden="false" customHeight="true" outlineLevel="0" collapsed="false">
      <c r="A35" s="5" t="s">
        <v>74</v>
      </c>
      <c r="B35" s="5" t="s">
        <v>99</v>
      </c>
      <c r="C35" s="5" t="s">
        <v>79</v>
      </c>
      <c r="D35" s="5" t="s">
        <v>80</v>
      </c>
      <c r="E35" s="5" t="s">
        <v>121</v>
      </c>
      <c r="F35" s="5" t="n">
        <v>115</v>
      </c>
      <c r="G35" s="6" t="n">
        <v>0.00180761904808907</v>
      </c>
      <c r="H35" s="6" t="n">
        <v>0.000710171861970917</v>
      </c>
      <c r="I35" s="7" t="n">
        <v>0.0122654671671901</v>
      </c>
      <c r="J35" s="6" t="s">
        <v>81</v>
      </c>
      <c r="K35" s="6" t="s">
        <v>81</v>
      </c>
      <c r="L35" s="6" t="s">
        <v>81</v>
      </c>
      <c r="M35" s="5" t="s">
        <v>82</v>
      </c>
      <c r="N35" s="5"/>
    </row>
    <row r="36" customFormat="false" ht="15" hidden="false" customHeight="true" outlineLevel="0" collapsed="false">
      <c r="A36" s="5" t="s">
        <v>74</v>
      </c>
      <c r="B36" s="5" t="s">
        <v>99</v>
      </c>
      <c r="C36" s="5" t="s">
        <v>79</v>
      </c>
      <c r="D36" s="5" t="s">
        <v>80</v>
      </c>
      <c r="E36" s="5" t="s">
        <v>122</v>
      </c>
      <c r="F36" s="5" t="n">
        <v>115</v>
      </c>
      <c r="G36" s="6" t="n">
        <v>0.00112343069632991</v>
      </c>
      <c r="H36" s="6" t="n">
        <v>1.22556123532235</v>
      </c>
      <c r="I36" s="7" t="n">
        <v>0.999268606205577</v>
      </c>
      <c r="J36" s="6" t="s">
        <v>81</v>
      </c>
      <c r="K36" s="6" t="s">
        <v>81</v>
      </c>
      <c r="L36" s="6" t="s">
        <v>81</v>
      </c>
      <c r="M36" s="5" t="s">
        <v>82</v>
      </c>
      <c r="N36" s="5" t="s">
        <v>123</v>
      </c>
    </row>
    <row r="37" customFormat="false" ht="15" hidden="false" customHeight="true" outlineLevel="0" collapsed="false">
      <c r="A37" s="5" t="s">
        <v>74</v>
      </c>
      <c r="B37" s="5" t="s">
        <v>99</v>
      </c>
      <c r="C37" s="5" t="s">
        <v>79</v>
      </c>
      <c r="D37" s="5" t="s">
        <v>80</v>
      </c>
      <c r="E37" s="5" t="s">
        <v>124</v>
      </c>
      <c r="F37" s="5" t="n">
        <v>115</v>
      </c>
      <c r="G37" s="6" t="n">
        <v>0.0608695652173914</v>
      </c>
      <c r="H37" s="6"/>
      <c r="I37" s="7" t="n">
        <v>0.576012120436398</v>
      </c>
      <c r="J37" s="6" t="s">
        <v>81</v>
      </c>
      <c r="K37" s="6" t="s">
        <v>81</v>
      </c>
      <c r="L37" s="6" t="s">
        <v>81</v>
      </c>
      <c r="M37" s="5" t="s">
        <v>82</v>
      </c>
      <c r="N37" s="5" t="s">
        <v>125</v>
      </c>
    </row>
    <row r="38" customFormat="false" ht="15" hidden="false" customHeight="true" outlineLevel="0" collapsed="false">
      <c r="A38" s="5" t="s">
        <v>74</v>
      </c>
      <c r="B38" s="5" t="s">
        <v>99</v>
      </c>
      <c r="C38" s="5" t="s">
        <v>83</v>
      </c>
      <c r="D38" s="5" t="s">
        <v>84</v>
      </c>
      <c r="E38" s="5" t="s">
        <v>100</v>
      </c>
      <c r="F38" s="5" t="n">
        <v>114</v>
      </c>
      <c r="G38" s="6" t="n">
        <v>0.085784575297348</v>
      </c>
      <c r="H38" s="6" t="n">
        <v>0.0231662292997347</v>
      </c>
      <c r="I38" s="7" t="n">
        <v>0.000213063859359713</v>
      </c>
      <c r="J38" s="6" t="n">
        <f aca="false">EXP(G38)</f>
        <v>1.08957158238685</v>
      </c>
      <c r="K38" s="6" t="n">
        <f aca="false">EXP(G38-1.96*H38)</f>
        <v>1.04120507245929</v>
      </c>
      <c r="L38" s="6" t="n">
        <f aca="false">EXP(G38+1.96*H38)</f>
        <v>1.14018483442549</v>
      </c>
      <c r="M38" s="5" t="s">
        <v>78</v>
      </c>
      <c r="N38" s="5"/>
    </row>
    <row r="39" customFormat="false" ht="15" hidden="false" customHeight="true" outlineLevel="0" collapsed="false">
      <c r="A39" s="5" t="s">
        <v>74</v>
      </c>
      <c r="B39" s="5" t="s">
        <v>99</v>
      </c>
      <c r="C39" s="5" t="s">
        <v>83</v>
      </c>
      <c r="D39" s="5" t="s">
        <v>84</v>
      </c>
      <c r="E39" s="5" t="s">
        <v>101</v>
      </c>
      <c r="F39" s="5" t="n">
        <v>114</v>
      </c>
      <c r="G39" s="6" t="n">
        <v>0.085784575297348</v>
      </c>
      <c r="H39" s="6" t="n">
        <v>0.0231662292997347</v>
      </c>
      <c r="I39" s="7" t="n">
        <v>0.000213063859359713</v>
      </c>
      <c r="J39" s="6" t="n">
        <f aca="false">EXP(G39)</f>
        <v>1.08957158238685</v>
      </c>
      <c r="K39" s="6" t="n">
        <f aca="false">EXP(G39-1.96*H39)</f>
        <v>1.04120507245929</v>
      </c>
      <c r="L39" s="6" t="n">
        <f aca="false">EXP(G39+1.96*H39)</f>
        <v>1.14018483442549</v>
      </c>
      <c r="M39" s="5" t="s">
        <v>78</v>
      </c>
      <c r="N39" s="5" t="s">
        <v>102</v>
      </c>
    </row>
    <row r="40" customFormat="false" ht="15" hidden="false" customHeight="true" outlineLevel="0" collapsed="false">
      <c r="A40" s="5" t="s">
        <v>74</v>
      </c>
      <c r="B40" s="5" t="s">
        <v>99</v>
      </c>
      <c r="C40" s="5" t="s">
        <v>83</v>
      </c>
      <c r="D40" s="5" t="s">
        <v>84</v>
      </c>
      <c r="E40" s="5" t="s">
        <v>103</v>
      </c>
      <c r="F40" s="5" t="n">
        <v>114</v>
      </c>
      <c r="G40" s="6" t="n">
        <v>0.085784575297348</v>
      </c>
      <c r="H40" s="6" t="n">
        <v>0.017428264506622</v>
      </c>
      <c r="I40" s="7" t="n">
        <v>8.55974793740836E-007</v>
      </c>
      <c r="J40" s="6" t="n">
        <f aca="false">EXP(G40)</f>
        <v>1.08957158238685</v>
      </c>
      <c r="K40" s="6" t="n">
        <f aca="false">EXP(G40-1.96*H40)</f>
        <v>1.05298098690095</v>
      </c>
      <c r="L40" s="6" t="n">
        <f aca="false">EXP(G40+1.96*H40)</f>
        <v>1.12743368390625</v>
      </c>
      <c r="M40" s="5" t="s">
        <v>78</v>
      </c>
      <c r="N40" s="5" t="s">
        <v>104</v>
      </c>
    </row>
    <row r="41" customFormat="false" ht="15" hidden="false" customHeight="true" outlineLevel="0" collapsed="false">
      <c r="A41" s="5" t="s">
        <v>74</v>
      </c>
      <c r="B41" s="5" t="s">
        <v>99</v>
      </c>
      <c r="C41" s="5" t="s">
        <v>83</v>
      </c>
      <c r="D41" s="5" t="s">
        <v>84</v>
      </c>
      <c r="E41" s="5" t="s">
        <v>105</v>
      </c>
      <c r="F41" s="5" t="n">
        <v>114</v>
      </c>
      <c r="G41" s="6" t="n">
        <v>0.0857669347558498</v>
      </c>
      <c r="H41" s="6" t="n">
        <v>0.0231650426023592</v>
      </c>
      <c r="I41" s="7" t="n">
        <v>0.000213544795928766</v>
      </c>
      <c r="J41" s="6" t="n">
        <f aca="false">EXP(G41)</f>
        <v>1.08955236192366</v>
      </c>
      <c r="K41" s="6" t="n">
        <f aca="false">EXP(G41-1.96*H41)</f>
        <v>1.04118912692694</v>
      </c>
      <c r="L41" s="6" t="n">
        <f aca="false">EXP(G41+1.96*H41)</f>
        <v>1.14016206918835</v>
      </c>
      <c r="M41" s="5" t="s">
        <v>78</v>
      </c>
      <c r="N41" s="5" t="s">
        <v>106</v>
      </c>
    </row>
    <row r="42" customFormat="false" ht="15" hidden="false" customHeight="true" outlineLevel="0" collapsed="false">
      <c r="A42" s="5" t="s">
        <v>74</v>
      </c>
      <c r="B42" s="5" t="s">
        <v>99</v>
      </c>
      <c r="C42" s="5" t="s">
        <v>83</v>
      </c>
      <c r="D42" s="5" t="s">
        <v>84</v>
      </c>
      <c r="E42" s="5" t="s">
        <v>107</v>
      </c>
      <c r="F42" s="5" t="n">
        <v>114</v>
      </c>
      <c r="G42" s="6" t="n">
        <v>0.0869012780271168</v>
      </c>
      <c r="H42" s="6" t="n">
        <v>0.0176687179566319</v>
      </c>
      <c r="I42" s="7" t="n">
        <v>8.72682042414364E-007</v>
      </c>
      <c r="J42" s="6" t="n">
        <f aca="false">EXP(G42)</f>
        <v>1.09078898956162</v>
      </c>
      <c r="K42" s="6" t="n">
        <f aca="false">EXP(G42-1.96*H42)</f>
        <v>1.05366081489931</v>
      </c>
      <c r="L42" s="6" t="n">
        <f aca="false">EXP(G42+1.96*H42)</f>
        <v>1.12922546129095</v>
      </c>
      <c r="M42" s="5" t="s">
        <v>78</v>
      </c>
      <c r="N42" s="5"/>
    </row>
    <row r="43" customFormat="false" ht="15" hidden="false" customHeight="true" outlineLevel="0" collapsed="false">
      <c r="A43" s="5" t="s">
        <v>74</v>
      </c>
      <c r="B43" s="5" t="s">
        <v>99</v>
      </c>
      <c r="C43" s="5" t="s">
        <v>83</v>
      </c>
      <c r="D43" s="5" t="s">
        <v>84</v>
      </c>
      <c r="E43" s="5" t="s">
        <v>108</v>
      </c>
      <c r="F43" s="5" t="n">
        <v>114</v>
      </c>
      <c r="G43" s="6" t="n">
        <v>0.0425600264083324</v>
      </c>
      <c r="H43" s="6" t="n">
        <v>0.0551148441926682</v>
      </c>
      <c r="I43" s="7" t="n">
        <v>0.441618692608766</v>
      </c>
      <c r="J43" s="6" t="n">
        <f aca="false">EXP(G43)</f>
        <v>1.04347869077178</v>
      </c>
      <c r="K43" s="6" t="n">
        <f aca="false">EXP(G43-1.96*H43)</f>
        <v>0.936631764412941</v>
      </c>
      <c r="L43" s="6" t="n">
        <f aca="false">EXP(G43+1.96*H43)</f>
        <v>1.16251425529781</v>
      </c>
      <c r="M43" s="5" t="s">
        <v>78</v>
      </c>
      <c r="N43" s="5"/>
    </row>
    <row r="44" customFormat="false" ht="15" hidden="false" customHeight="true" outlineLevel="0" collapsed="false">
      <c r="A44" s="5" t="s">
        <v>74</v>
      </c>
      <c r="B44" s="5" t="s">
        <v>99</v>
      </c>
      <c r="C44" s="5" t="s">
        <v>83</v>
      </c>
      <c r="D44" s="5" t="s">
        <v>84</v>
      </c>
      <c r="E44" s="5" t="s">
        <v>109</v>
      </c>
      <c r="F44" s="5" t="n">
        <v>114</v>
      </c>
      <c r="G44" s="6" t="n">
        <v>0.0251487873671414</v>
      </c>
      <c r="H44" s="6" t="n">
        <v>0.0390235742469109</v>
      </c>
      <c r="I44" s="7" t="n">
        <v>0.271</v>
      </c>
      <c r="J44" s="6" t="n">
        <f aca="false">EXP(G44)</f>
        <v>1.02546768581131</v>
      </c>
      <c r="K44" s="6" t="n">
        <f aca="false">EXP(G44-1.96*H44)</f>
        <v>0.949958083343977</v>
      </c>
      <c r="L44" s="6" t="n">
        <f aca="false">EXP(G44+1.96*H44)</f>
        <v>1.10697934264794</v>
      </c>
      <c r="M44" s="5" t="s">
        <v>78</v>
      </c>
      <c r="N44" s="5" t="s">
        <v>110</v>
      </c>
    </row>
    <row r="45" customFormat="false" ht="15" hidden="false" customHeight="true" outlineLevel="0" collapsed="false">
      <c r="A45" s="5" t="s">
        <v>74</v>
      </c>
      <c r="B45" s="5" t="s">
        <v>99</v>
      </c>
      <c r="C45" s="5" t="s">
        <v>83</v>
      </c>
      <c r="D45" s="5" t="s">
        <v>84</v>
      </c>
      <c r="E45" s="5" t="s">
        <v>111</v>
      </c>
      <c r="F45" s="5" t="n">
        <v>114</v>
      </c>
      <c r="G45" s="6" t="n">
        <v>0.0820288285035058</v>
      </c>
      <c r="H45" s="6" t="n">
        <v>0.0303032771586387</v>
      </c>
      <c r="I45" s="7" t="n">
        <v>0.00679087199149562</v>
      </c>
      <c r="J45" s="6" t="n">
        <f aca="false">EXP(G45)</f>
        <v>1.08548710234722</v>
      </c>
      <c r="K45" s="6" t="n">
        <f aca="false">EXP(G45-1.96*H45)</f>
        <v>1.02289250707192</v>
      </c>
      <c r="L45" s="6" t="n">
        <f aca="false">EXP(G45+1.96*H45)</f>
        <v>1.1519120936129</v>
      </c>
      <c r="M45" s="5" t="s">
        <v>78</v>
      </c>
      <c r="N45" s="5"/>
    </row>
    <row r="46" customFormat="false" ht="15" hidden="false" customHeight="true" outlineLevel="0" collapsed="false">
      <c r="A46" s="5" t="s">
        <v>74</v>
      </c>
      <c r="B46" s="5" t="s">
        <v>99</v>
      </c>
      <c r="C46" s="5" t="s">
        <v>83</v>
      </c>
      <c r="D46" s="5" t="s">
        <v>84</v>
      </c>
      <c r="E46" s="5" t="s">
        <v>112</v>
      </c>
      <c r="F46" s="5" t="n">
        <v>114</v>
      </c>
      <c r="G46" s="6" t="n">
        <v>0.0641188820694463</v>
      </c>
      <c r="H46" s="6" t="n">
        <v>0.0337387285494213</v>
      </c>
      <c r="I46" s="7" t="n">
        <v>0.0573736421683807</v>
      </c>
      <c r="J46" s="6" t="n">
        <f aca="false">EXP(G46)</f>
        <v>1.0662191455659</v>
      </c>
      <c r="K46" s="6" t="n">
        <f aca="false">EXP(G46-1.96*H46)</f>
        <v>0.997992990854301</v>
      </c>
      <c r="L46" s="6" t="n">
        <f aca="false">EXP(G46+1.96*H46)</f>
        <v>1.13910946949451</v>
      </c>
      <c r="M46" s="5" t="s">
        <v>78</v>
      </c>
      <c r="N46" s="5"/>
    </row>
    <row r="47" customFormat="false" ht="15" hidden="false" customHeight="true" outlineLevel="0" collapsed="false">
      <c r="A47" s="5" t="s">
        <v>74</v>
      </c>
      <c r="B47" s="5" t="s">
        <v>99</v>
      </c>
      <c r="C47" s="5" t="s">
        <v>83</v>
      </c>
      <c r="D47" s="5" t="s">
        <v>84</v>
      </c>
      <c r="E47" s="5" t="s">
        <v>113</v>
      </c>
      <c r="F47" s="5" t="n">
        <v>114</v>
      </c>
      <c r="G47" s="6" t="n">
        <v>0.0636693100501902</v>
      </c>
      <c r="H47" s="6" t="n">
        <v>0.0335399398298864</v>
      </c>
      <c r="I47" s="7" t="n">
        <v>0.0576548379319918</v>
      </c>
      <c r="J47" s="6" t="n">
        <f aca="false">EXP(G47)</f>
        <v>1.06573991100496</v>
      </c>
      <c r="K47" s="6" t="n">
        <f aca="false">EXP(G47-1.96*H47)</f>
        <v>0.997933166830889</v>
      </c>
      <c r="L47" s="6" t="n">
        <f aca="false">EXP(G47+1.96*H47)</f>
        <v>1.1381539322075</v>
      </c>
      <c r="M47" s="5" t="s">
        <v>78</v>
      </c>
      <c r="N47" s="5"/>
    </row>
    <row r="48" customFormat="false" ht="15" hidden="false" customHeight="true" outlineLevel="0" collapsed="false">
      <c r="A48" s="5" t="s">
        <v>74</v>
      </c>
      <c r="B48" s="5" t="s">
        <v>99</v>
      </c>
      <c r="C48" s="5" t="s">
        <v>83</v>
      </c>
      <c r="D48" s="5" t="s">
        <v>84</v>
      </c>
      <c r="E48" s="5" t="s">
        <v>114</v>
      </c>
      <c r="F48" s="5" t="n">
        <v>114</v>
      </c>
      <c r="G48" s="6" t="n">
        <v>0.0564956207315309</v>
      </c>
      <c r="H48" s="6" t="n">
        <v>0.0717020060612459</v>
      </c>
      <c r="I48" s="7" t="n">
        <v>0.432391777922567</v>
      </c>
      <c r="J48" s="6" t="n">
        <f aca="false">EXP(G48)</f>
        <v>1.05812198098985</v>
      </c>
      <c r="K48" s="6" t="n">
        <f aca="false">EXP(G48-1.96*H48)</f>
        <v>0.919394193512237</v>
      </c>
      <c r="L48" s="6" t="n">
        <f aca="false">EXP(G48+1.96*H48)</f>
        <v>1.2177824643168</v>
      </c>
      <c r="M48" s="5" t="s">
        <v>78</v>
      </c>
      <c r="N48" s="5"/>
    </row>
    <row r="49" customFormat="false" ht="15" hidden="false" customHeight="true" outlineLevel="0" collapsed="false">
      <c r="A49" s="5" t="s">
        <v>74</v>
      </c>
      <c r="B49" s="5" t="s">
        <v>99</v>
      </c>
      <c r="C49" s="5" t="s">
        <v>83</v>
      </c>
      <c r="D49" s="5" t="s">
        <v>84</v>
      </c>
      <c r="E49" s="5" t="s">
        <v>115</v>
      </c>
      <c r="F49" s="5" t="n">
        <v>114</v>
      </c>
      <c r="G49" s="6" t="n">
        <v>0.0564956207315309</v>
      </c>
      <c r="H49" s="6" t="n">
        <v>0.0757443131754248</v>
      </c>
      <c r="I49" s="7" t="n">
        <v>0.457293070239681</v>
      </c>
      <c r="J49" s="6" t="n">
        <f aca="false">EXP(G49)</f>
        <v>1.05812198098985</v>
      </c>
      <c r="K49" s="6" t="n">
        <f aca="false">EXP(G49-1.96*H49)</f>
        <v>0.912138685447437</v>
      </c>
      <c r="L49" s="6" t="n">
        <f aca="false">EXP(G49+1.96*H49)</f>
        <v>1.22746918261084</v>
      </c>
      <c r="M49" s="5" t="s">
        <v>78</v>
      </c>
      <c r="N49" s="5" t="s">
        <v>116</v>
      </c>
    </row>
    <row r="50" customFormat="false" ht="15" hidden="false" customHeight="true" outlineLevel="0" collapsed="false">
      <c r="A50" s="5" t="s">
        <v>74</v>
      </c>
      <c r="B50" s="5" t="s">
        <v>99</v>
      </c>
      <c r="C50" s="5" t="s">
        <v>83</v>
      </c>
      <c r="D50" s="5" t="s">
        <v>84</v>
      </c>
      <c r="E50" s="5" t="s">
        <v>117</v>
      </c>
      <c r="F50" s="5" t="n">
        <v>114</v>
      </c>
      <c r="G50" s="6" t="n">
        <v>0.0485245807199309</v>
      </c>
      <c r="H50" s="6" t="n">
        <v>0.0383234671110893</v>
      </c>
      <c r="I50" s="7" t="n">
        <v>0.208051072160246</v>
      </c>
      <c r="J50" s="6" t="n">
        <f aca="false">EXP(G50)</f>
        <v>1.04972117440539</v>
      </c>
      <c r="K50" s="6" t="n">
        <f aca="false">EXP(G50-1.96*H50)</f>
        <v>0.973760971282973</v>
      </c>
      <c r="L50" s="6" t="n">
        <f aca="false">EXP(G50+1.96*H50)</f>
        <v>1.13160680751378</v>
      </c>
      <c r="M50" s="5" t="s">
        <v>78</v>
      </c>
      <c r="N50" s="5"/>
    </row>
    <row r="51" customFormat="false" ht="15" hidden="false" customHeight="true" outlineLevel="0" collapsed="false">
      <c r="A51" s="5" t="s">
        <v>74</v>
      </c>
      <c r="B51" s="5" t="s">
        <v>99</v>
      </c>
      <c r="C51" s="5" t="s">
        <v>83</v>
      </c>
      <c r="D51" s="5" t="s">
        <v>84</v>
      </c>
      <c r="E51" s="5" t="s">
        <v>118</v>
      </c>
      <c r="F51" s="5" t="n">
        <v>114</v>
      </c>
      <c r="G51" s="6" t="n">
        <v>0.0525101007257309</v>
      </c>
      <c r="H51" s="6" t="n">
        <v>0.0377348519765365</v>
      </c>
      <c r="I51" s="7" t="n">
        <v>0.166790696637209</v>
      </c>
      <c r="J51" s="6" t="n">
        <f aca="false">EXP(G51)</f>
        <v>1.05391320731303</v>
      </c>
      <c r="K51" s="6" t="n">
        <f aca="false">EXP(G51-1.96*H51)</f>
        <v>0.978778210456652</v>
      </c>
      <c r="L51" s="6" t="n">
        <f aca="false">EXP(G51+1.96*H51)</f>
        <v>1.13481587215822</v>
      </c>
      <c r="M51" s="5" t="s">
        <v>78</v>
      </c>
      <c r="N51" s="5" t="s">
        <v>119</v>
      </c>
    </row>
    <row r="52" customFormat="false" ht="15" hidden="false" customHeight="true" outlineLevel="0" collapsed="false">
      <c r="A52" s="5" t="s">
        <v>74</v>
      </c>
      <c r="B52" s="5" t="s">
        <v>99</v>
      </c>
      <c r="C52" s="5" t="s">
        <v>83</v>
      </c>
      <c r="D52" s="5" t="s">
        <v>84</v>
      </c>
      <c r="E52" s="5" t="s">
        <v>120</v>
      </c>
      <c r="F52" s="5" t="n">
        <v>114</v>
      </c>
      <c r="G52" s="6" t="n">
        <v>0.0854820152379979</v>
      </c>
      <c r="H52" s="6" t="n">
        <v>0.0237900943268359</v>
      </c>
      <c r="I52" s="7" t="n">
        <v>0.000326670761296866</v>
      </c>
      <c r="J52" s="6" t="n">
        <f aca="false">EXP(G52)</f>
        <v>1.08924197141029</v>
      </c>
      <c r="K52" s="6" t="n">
        <f aca="false">EXP(G52-1.96*H52)</f>
        <v>1.03961809602996</v>
      </c>
      <c r="L52" s="6" t="n">
        <f aca="false">EXP(G52+1.96*H52)</f>
        <v>1.14123453296217</v>
      </c>
      <c r="M52" s="5" t="s">
        <v>78</v>
      </c>
      <c r="N52" s="5"/>
    </row>
    <row r="53" customFormat="false" ht="15" hidden="false" customHeight="true" outlineLevel="0" collapsed="false">
      <c r="A53" s="5" t="s">
        <v>74</v>
      </c>
      <c r="B53" s="5" t="s">
        <v>99</v>
      </c>
      <c r="C53" s="5" t="s">
        <v>83</v>
      </c>
      <c r="D53" s="5" t="s">
        <v>84</v>
      </c>
      <c r="E53" s="5" t="s">
        <v>121</v>
      </c>
      <c r="F53" s="5" t="n">
        <v>114</v>
      </c>
      <c r="G53" s="6" t="n">
        <v>0.0614851211879531</v>
      </c>
      <c r="H53" s="6" t="n">
        <v>0.0373641850798194</v>
      </c>
      <c r="I53" s="7" t="n">
        <v>0.102657370029111</v>
      </c>
      <c r="J53" s="6" t="n">
        <f aca="false">EXP(G53)</f>
        <v>1.06341467406403</v>
      </c>
      <c r="K53" s="6" t="n">
        <f aca="false">EXP(G53-1.96*H53)</f>
        <v>0.988320064701414</v>
      </c>
      <c r="L53" s="6" t="n">
        <f aca="false">EXP(G53+1.96*H53)</f>
        <v>1.14421512767359</v>
      </c>
      <c r="M53" s="5" t="s">
        <v>78</v>
      </c>
      <c r="N53" s="5"/>
    </row>
    <row r="54" customFormat="false" ht="15" hidden="false" customHeight="true" outlineLevel="0" collapsed="false">
      <c r="A54" s="5" t="s">
        <v>74</v>
      </c>
      <c r="B54" s="5" t="s">
        <v>99</v>
      </c>
      <c r="C54" s="5" t="s">
        <v>83</v>
      </c>
      <c r="D54" s="5" t="s">
        <v>84</v>
      </c>
      <c r="E54" s="5" t="s">
        <v>122</v>
      </c>
      <c r="F54" s="5" t="n">
        <v>114</v>
      </c>
      <c r="G54" s="6" t="n">
        <v>0.0843724147079751</v>
      </c>
      <c r="H54" s="6" t="n">
        <v>1.22778618116926</v>
      </c>
      <c r="I54" s="7" t="n">
        <v>0.945213179955871</v>
      </c>
      <c r="J54" s="6" t="n">
        <f aca="false">EXP(G54)</f>
        <v>1.08803401823817</v>
      </c>
      <c r="K54" s="6" t="s">
        <v>81</v>
      </c>
      <c r="L54" s="6" t="s">
        <v>81</v>
      </c>
      <c r="M54" s="5" t="s">
        <v>78</v>
      </c>
      <c r="N54" s="5" t="s">
        <v>123</v>
      </c>
    </row>
    <row r="55" customFormat="false" ht="15" hidden="false" customHeight="true" outlineLevel="0" collapsed="false">
      <c r="A55" s="5" t="s">
        <v>74</v>
      </c>
      <c r="B55" s="5" t="s">
        <v>99</v>
      </c>
      <c r="C55" s="5" t="s">
        <v>83</v>
      </c>
      <c r="D55" s="5" t="s">
        <v>84</v>
      </c>
      <c r="E55" s="5" t="s">
        <v>124</v>
      </c>
      <c r="F55" s="5" t="n">
        <v>113</v>
      </c>
      <c r="G55" s="6" t="n">
        <v>0.274336283185841</v>
      </c>
      <c r="H55" s="6"/>
      <c r="I55" s="7" t="n">
        <v>0.00455355646603254</v>
      </c>
      <c r="J55" s="6" t="n">
        <f aca="false">EXP(G55)</f>
        <v>1.31565716123726</v>
      </c>
      <c r="K55" s="6" t="s">
        <v>81</v>
      </c>
      <c r="L55" s="6" t="s">
        <v>81</v>
      </c>
      <c r="M55" s="5" t="s">
        <v>78</v>
      </c>
      <c r="N55" s="5" t="s">
        <v>125</v>
      </c>
    </row>
    <row r="56" customFormat="false" ht="15" hidden="false" customHeight="true" outlineLevel="0" collapsed="false">
      <c r="A56" s="5" t="s">
        <v>74</v>
      </c>
      <c r="B56" s="5" t="s">
        <v>99</v>
      </c>
      <c r="C56" s="5" t="s">
        <v>86</v>
      </c>
      <c r="D56" s="5" t="s">
        <v>87</v>
      </c>
      <c r="E56" s="5" t="s">
        <v>100</v>
      </c>
      <c r="F56" s="5" t="n">
        <v>115</v>
      </c>
      <c r="G56" s="6" t="n">
        <v>0.105322069371282</v>
      </c>
      <c r="H56" s="6" t="n">
        <v>0.0142115464566719</v>
      </c>
      <c r="I56" s="7" t="n">
        <v>1.25330724995948E-013</v>
      </c>
      <c r="J56" s="6" t="n">
        <f aca="false">EXP(G56)</f>
        <v>1.11106839383612</v>
      </c>
      <c r="K56" s="6" t="n">
        <f aca="false">EXP(G56-1.96*H56)</f>
        <v>1.08054704745444</v>
      </c>
      <c r="L56" s="6" t="n">
        <f aca="false">EXP(G56+1.96*H56)</f>
        <v>1.14245185222592</v>
      </c>
      <c r="M56" s="5" t="s">
        <v>78</v>
      </c>
      <c r="N56" s="5"/>
    </row>
    <row r="57" customFormat="false" ht="15" hidden="false" customHeight="true" outlineLevel="0" collapsed="false">
      <c r="A57" s="5" t="s">
        <v>74</v>
      </c>
      <c r="B57" s="5" t="s">
        <v>99</v>
      </c>
      <c r="C57" s="5" t="s">
        <v>86</v>
      </c>
      <c r="D57" s="5" t="s">
        <v>87</v>
      </c>
      <c r="E57" s="5" t="s">
        <v>101</v>
      </c>
      <c r="F57" s="5" t="n">
        <v>115</v>
      </c>
      <c r="G57" s="6" t="n">
        <v>0.105322069371282</v>
      </c>
      <c r="H57" s="6" t="n">
        <v>0.0142115464566719</v>
      </c>
      <c r="I57" s="7" t="n">
        <v>1.25330724995948E-013</v>
      </c>
      <c r="J57" s="6" t="n">
        <f aca="false">EXP(G57)</f>
        <v>1.11106839383612</v>
      </c>
      <c r="K57" s="6" t="n">
        <f aca="false">EXP(G57-1.96*H57)</f>
        <v>1.08054704745444</v>
      </c>
      <c r="L57" s="6" t="n">
        <f aca="false">EXP(G57+1.96*H57)</f>
        <v>1.14245185222592</v>
      </c>
      <c r="M57" s="5" t="s">
        <v>78</v>
      </c>
      <c r="N57" s="5" t="s">
        <v>102</v>
      </c>
    </row>
    <row r="58" customFormat="false" ht="15" hidden="false" customHeight="true" outlineLevel="0" collapsed="false">
      <c r="A58" s="5" t="s">
        <v>74</v>
      </c>
      <c r="B58" s="5" t="s">
        <v>99</v>
      </c>
      <c r="C58" s="5" t="s">
        <v>86</v>
      </c>
      <c r="D58" s="5" t="s">
        <v>87</v>
      </c>
      <c r="E58" s="5" t="s">
        <v>103</v>
      </c>
      <c r="F58" s="5" t="n">
        <v>115</v>
      </c>
      <c r="G58" s="6" t="n">
        <v>0.105322069371282</v>
      </c>
      <c r="H58" s="6" t="n">
        <v>0.0096575497319441</v>
      </c>
      <c r="I58" s="7" t="n">
        <v>1.08290191471422E-027</v>
      </c>
      <c r="J58" s="6" t="n">
        <f aca="false">EXP(G58)</f>
        <v>1.11106839383612</v>
      </c>
      <c r="K58" s="6" t="n">
        <f aca="false">EXP(G58-1.96*H58)</f>
        <v>1.09023500279416</v>
      </c>
      <c r="L58" s="6" t="n">
        <f aca="false">EXP(G58+1.96*H58)</f>
        <v>1.13229989187445</v>
      </c>
      <c r="M58" s="5" t="s">
        <v>78</v>
      </c>
      <c r="N58" s="5" t="s">
        <v>104</v>
      </c>
    </row>
    <row r="59" customFormat="false" ht="15" hidden="false" customHeight="true" outlineLevel="0" collapsed="false">
      <c r="A59" s="5" t="s">
        <v>74</v>
      </c>
      <c r="B59" s="5" t="s">
        <v>99</v>
      </c>
      <c r="C59" s="5" t="s">
        <v>86</v>
      </c>
      <c r="D59" s="5" t="s">
        <v>87</v>
      </c>
      <c r="E59" s="5" t="s">
        <v>105</v>
      </c>
      <c r="F59" s="5" t="n">
        <v>115</v>
      </c>
      <c r="G59" s="6" t="n">
        <v>0.105194295414647</v>
      </c>
      <c r="H59" s="6" t="n">
        <v>0.0142108506523202</v>
      </c>
      <c r="I59" s="7" t="n">
        <v>1.33752382613096E-013</v>
      </c>
      <c r="J59" s="6" t="n">
        <f aca="false">EXP(G59)</f>
        <v>1.11092643730071</v>
      </c>
      <c r="K59" s="6" t="n">
        <f aca="false">EXP(G59-1.96*H59)</f>
        <v>1.08041046394051</v>
      </c>
      <c r="L59" s="6" t="n">
        <f aca="false">EXP(G59+1.96*H59)</f>
        <v>1.14230432810914</v>
      </c>
      <c r="M59" s="5" t="s">
        <v>78</v>
      </c>
      <c r="N59" s="5" t="s">
        <v>106</v>
      </c>
    </row>
    <row r="60" customFormat="false" ht="15" hidden="false" customHeight="true" outlineLevel="0" collapsed="false">
      <c r="A60" s="5" t="s">
        <v>74</v>
      </c>
      <c r="B60" s="5" t="s">
        <v>99</v>
      </c>
      <c r="C60" s="5" t="s">
        <v>86</v>
      </c>
      <c r="D60" s="5" t="s">
        <v>87</v>
      </c>
      <c r="E60" s="5" t="s">
        <v>107</v>
      </c>
      <c r="F60" s="5" t="n">
        <v>115</v>
      </c>
      <c r="G60" s="6" t="n">
        <v>0.107451780922529</v>
      </c>
      <c r="H60" s="6" t="n">
        <v>0.00987585457158133</v>
      </c>
      <c r="I60" s="7" t="n">
        <v>1.43167502606058E-027</v>
      </c>
      <c r="J60" s="6" t="n">
        <f aca="false">EXP(G60)</f>
        <v>1.11343717053892</v>
      </c>
      <c r="K60" s="6" t="n">
        <f aca="false">EXP(G60-1.96*H60)</f>
        <v>1.09209198154804</v>
      </c>
      <c r="L60" s="6" t="n">
        <f aca="false">EXP(G60+1.96*H60)</f>
        <v>1.13519955615861</v>
      </c>
      <c r="M60" s="5" t="s">
        <v>78</v>
      </c>
      <c r="N60" s="5"/>
    </row>
    <row r="61" customFormat="false" ht="15" hidden="false" customHeight="true" outlineLevel="0" collapsed="false">
      <c r="A61" s="5" t="s">
        <v>74</v>
      </c>
      <c r="B61" s="5" t="s">
        <v>99</v>
      </c>
      <c r="C61" s="5" t="s">
        <v>86</v>
      </c>
      <c r="D61" s="5" t="s">
        <v>87</v>
      </c>
      <c r="E61" s="5" t="s">
        <v>108</v>
      </c>
      <c r="F61" s="5" t="n">
        <v>115</v>
      </c>
      <c r="G61" s="6" t="n">
        <v>0.112809472446451</v>
      </c>
      <c r="H61" s="6" t="n">
        <v>0.034662802135567</v>
      </c>
      <c r="I61" s="7" t="n">
        <v>0.00149895934084415</v>
      </c>
      <c r="J61" s="6" t="n">
        <f aca="false">EXP(G61)</f>
        <v>1.11941863253597</v>
      </c>
      <c r="K61" s="6" t="n">
        <f aca="false">EXP(G61-1.96*H61)</f>
        <v>1.04589228283718</v>
      </c>
      <c r="L61" s="6" t="n">
        <f aca="false">EXP(G61+1.96*H61)</f>
        <v>1.19811389321035</v>
      </c>
      <c r="M61" s="5" t="s">
        <v>78</v>
      </c>
      <c r="N61" s="5"/>
    </row>
    <row r="62" customFormat="false" ht="15" hidden="false" customHeight="true" outlineLevel="0" collapsed="false">
      <c r="A62" s="5" t="s">
        <v>74</v>
      </c>
      <c r="B62" s="5" t="s">
        <v>99</v>
      </c>
      <c r="C62" s="5" t="s">
        <v>86</v>
      </c>
      <c r="D62" s="5" t="s">
        <v>87</v>
      </c>
      <c r="E62" s="5" t="s">
        <v>109</v>
      </c>
      <c r="F62" s="5" t="n">
        <v>115</v>
      </c>
      <c r="G62" s="6" t="n">
        <v>0.110097687442725</v>
      </c>
      <c r="H62" s="6" t="n">
        <v>0.0229449149208719</v>
      </c>
      <c r="I62" s="7" t="n">
        <v>0</v>
      </c>
      <c r="J62" s="6" t="n">
        <f aca="false">EXP(G62)</f>
        <v>1.11638712213535</v>
      </c>
      <c r="K62" s="6" t="n">
        <f aca="false">EXP(G62-1.96*H62)</f>
        <v>1.06729312582037</v>
      </c>
      <c r="L62" s="6" t="n">
        <f aca="false">EXP(G62+1.96*H62)</f>
        <v>1.16773937385914</v>
      </c>
      <c r="M62" s="5" t="s">
        <v>78</v>
      </c>
      <c r="N62" s="5" t="s">
        <v>110</v>
      </c>
    </row>
    <row r="63" customFormat="false" ht="15" hidden="false" customHeight="true" outlineLevel="0" collapsed="false">
      <c r="A63" s="5" t="s">
        <v>74</v>
      </c>
      <c r="B63" s="5" t="s">
        <v>99</v>
      </c>
      <c r="C63" s="5" t="s">
        <v>86</v>
      </c>
      <c r="D63" s="5" t="s">
        <v>87</v>
      </c>
      <c r="E63" s="5" t="s">
        <v>111</v>
      </c>
      <c r="F63" s="5" t="n">
        <v>115</v>
      </c>
      <c r="G63" s="6" t="n">
        <v>0.0993788819875776</v>
      </c>
      <c r="H63" s="6" t="n">
        <v>0.0165961217128055</v>
      </c>
      <c r="I63" s="7" t="n">
        <v>2.12334395540587E-009</v>
      </c>
      <c r="J63" s="6" t="n">
        <f aca="false">EXP(G63)</f>
        <v>1.10448468964811</v>
      </c>
      <c r="K63" s="6" t="n">
        <f aca="false">EXP(G63-1.96*H63)</f>
        <v>1.06913561273446</v>
      </c>
      <c r="L63" s="6" t="n">
        <f aca="false">EXP(G63+1.96*H63)</f>
        <v>1.14100252123025</v>
      </c>
      <c r="M63" s="5" t="s">
        <v>78</v>
      </c>
      <c r="N63" s="5"/>
    </row>
    <row r="64" customFormat="false" ht="15" hidden="false" customHeight="true" outlineLevel="0" collapsed="false">
      <c r="A64" s="5" t="s">
        <v>74</v>
      </c>
      <c r="B64" s="5" t="s">
        <v>99</v>
      </c>
      <c r="C64" s="5" t="s">
        <v>86</v>
      </c>
      <c r="D64" s="5" t="s">
        <v>87</v>
      </c>
      <c r="E64" s="5" t="s">
        <v>112</v>
      </c>
      <c r="F64" s="5" t="n">
        <v>115</v>
      </c>
      <c r="G64" s="6" t="n">
        <v>0.104432691261865</v>
      </c>
      <c r="H64" s="6" t="n">
        <v>0.0187167953819138</v>
      </c>
      <c r="I64" s="7" t="n">
        <v>2.41038279252398E-008</v>
      </c>
      <c r="J64" s="6" t="n">
        <f aca="false">EXP(G64)</f>
        <v>1.11008067322223</v>
      </c>
      <c r="K64" s="6" t="n">
        <f aca="false">EXP(G64-1.96*H64)</f>
        <v>1.07009536675793</v>
      </c>
      <c r="L64" s="6" t="n">
        <f aca="false">EXP(G64+1.96*H64)</f>
        <v>1.15156007524353</v>
      </c>
      <c r="M64" s="5" t="s">
        <v>78</v>
      </c>
      <c r="N64" s="5"/>
    </row>
    <row r="65" customFormat="false" ht="15" hidden="false" customHeight="true" outlineLevel="0" collapsed="false">
      <c r="A65" s="5" t="s">
        <v>74</v>
      </c>
      <c r="B65" s="5" t="s">
        <v>99</v>
      </c>
      <c r="C65" s="5" t="s">
        <v>86</v>
      </c>
      <c r="D65" s="5" t="s">
        <v>87</v>
      </c>
      <c r="E65" s="5" t="s">
        <v>113</v>
      </c>
      <c r="F65" s="5" t="n">
        <v>115</v>
      </c>
      <c r="G65" s="6" t="n">
        <v>0.104165657715891</v>
      </c>
      <c r="H65" s="6" t="n">
        <v>0.0187234141961302</v>
      </c>
      <c r="I65" s="7" t="n">
        <v>2.64583472818148E-008</v>
      </c>
      <c r="J65" s="6" t="n">
        <f aca="false">EXP(G65)</f>
        <v>1.10978428401843</v>
      </c>
      <c r="K65" s="6" t="n">
        <f aca="false">EXP(G65-1.96*H65)</f>
        <v>1.069795775129</v>
      </c>
      <c r="L65" s="6" t="n">
        <f aca="false">EXP(G65+1.96*H65)</f>
        <v>1.15126754628077</v>
      </c>
      <c r="M65" s="5" t="s">
        <v>78</v>
      </c>
      <c r="N65" s="5"/>
    </row>
    <row r="66" customFormat="false" ht="15" hidden="false" customHeight="true" outlineLevel="0" collapsed="false">
      <c r="A66" s="5" t="s">
        <v>74</v>
      </c>
      <c r="B66" s="5" t="s">
        <v>99</v>
      </c>
      <c r="C66" s="5" t="s">
        <v>86</v>
      </c>
      <c r="D66" s="5" t="s">
        <v>87</v>
      </c>
      <c r="E66" s="5" t="s">
        <v>114</v>
      </c>
      <c r="F66" s="5" t="n">
        <v>115</v>
      </c>
      <c r="G66" s="6" t="n">
        <v>0.0998030471901461</v>
      </c>
      <c r="H66" s="6" t="n">
        <v>0.0402086320076764</v>
      </c>
      <c r="I66" s="7" t="n">
        <v>0.0145174069553613</v>
      </c>
      <c r="J66" s="6" t="n">
        <f aca="false">EXP(G66)</f>
        <v>1.10495327299157</v>
      </c>
      <c r="K66" s="6" t="n">
        <f aca="false">EXP(G66-1.96*H66)</f>
        <v>1.021216055504</v>
      </c>
      <c r="L66" s="6" t="n">
        <f aca="false">EXP(G66+1.96*H66)</f>
        <v>1.19555673739601</v>
      </c>
      <c r="M66" s="5" t="s">
        <v>78</v>
      </c>
      <c r="N66" s="5"/>
    </row>
    <row r="67" customFormat="false" ht="15" hidden="false" customHeight="true" outlineLevel="0" collapsed="false">
      <c r="A67" s="5" t="s">
        <v>74</v>
      </c>
      <c r="B67" s="5" t="s">
        <v>99</v>
      </c>
      <c r="C67" s="5" t="s">
        <v>86</v>
      </c>
      <c r="D67" s="5" t="s">
        <v>87</v>
      </c>
      <c r="E67" s="5" t="s">
        <v>115</v>
      </c>
      <c r="F67" s="5" t="n">
        <v>115</v>
      </c>
      <c r="G67" s="6" t="n">
        <v>0.0998030471901461</v>
      </c>
      <c r="H67" s="6" t="n">
        <v>0.040776165929893</v>
      </c>
      <c r="I67" s="7" t="n">
        <v>0.0159070285408264</v>
      </c>
      <c r="J67" s="6" t="n">
        <f aca="false">EXP(G67)</f>
        <v>1.10495327299157</v>
      </c>
      <c r="K67" s="6" t="n">
        <f aca="false">EXP(G67-1.96*H67)</f>
        <v>1.02008072055866</v>
      </c>
      <c r="L67" s="6" t="n">
        <f aca="false">EXP(G67+1.96*H67)</f>
        <v>1.19688737458555</v>
      </c>
      <c r="M67" s="5" t="s">
        <v>78</v>
      </c>
      <c r="N67" s="5" t="s">
        <v>116</v>
      </c>
    </row>
    <row r="68" customFormat="false" ht="15" hidden="false" customHeight="true" outlineLevel="0" collapsed="false">
      <c r="A68" s="5" t="s">
        <v>74</v>
      </c>
      <c r="B68" s="5" t="s">
        <v>99</v>
      </c>
      <c r="C68" s="5" t="s">
        <v>86</v>
      </c>
      <c r="D68" s="5" t="s">
        <v>87</v>
      </c>
      <c r="E68" s="5" t="s">
        <v>117</v>
      </c>
      <c r="F68" s="5" t="n">
        <v>115</v>
      </c>
      <c r="G68" s="6" t="n">
        <v>0.111973597148227</v>
      </c>
      <c r="H68" s="6" t="n">
        <v>0.0209792621095814</v>
      </c>
      <c r="I68" s="7" t="n">
        <v>4.85906065256319E-007</v>
      </c>
      <c r="J68" s="6" t="n">
        <f aca="false">EXP(G68)</f>
        <v>1.11848332910564</v>
      </c>
      <c r="K68" s="6" t="n">
        <f aca="false">EXP(G68-1.96*H68)</f>
        <v>1.07342475573704</v>
      </c>
      <c r="L68" s="6" t="n">
        <f aca="false">EXP(G68+1.96*H68)</f>
        <v>1.1654333019628</v>
      </c>
      <c r="M68" s="5" t="s">
        <v>78</v>
      </c>
      <c r="N68" s="5"/>
    </row>
    <row r="69" customFormat="false" ht="15" hidden="false" customHeight="true" outlineLevel="0" collapsed="false">
      <c r="A69" s="5" t="s">
        <v>74</v>
      </c>
      <c r="B69" s="5" t="s">
        <v>99</v>
      </c>
      <c r="C69" s="5" t="s">
        <v>86</v>
      </c>
      <c r="D69" s="5" t="s">
        <v>87</v>
      </c>
      <c r="E69" s="5" t="s">
        <v>118</v>
      </c>
      <c r="F69" s="5" t="n">
        <v>115</v>
      </c>
      <c r="G69" s="6" t="n">
        <v>0.115016234637747</v>
      </c>
      <c r="H69" s="6" t="n">
        <v>0.0220476244181975</v>
      </c>
      <c r="I69" s="7" t="n">
        <v>8.24340978979772E-007</v>
      </c>
      <c r="J69" s="6" t="n">
        <f aca="false">EXP(G69)</f>
        <v>1.12189165092864</v>
      </c>
      <c r="K69" s="6" t="n">
        <f aca="false">EXP(G69-1.96*H69)</f>
        <v>1.07444354046002</v>
      </c>
      <c r="L69" s="6" t="n">
        <f aca="false">EXP(G69+1.96*H69)</f>
        <v>1.17143510014915</v>
      </c>
      <c r="M69" s="5" t="s">
        <v>78</v>
      </c>
      <c r="N69" s="5" t="s">
        <v>119</v>
      </c>
    </row>
    <row r="70" customFormat="false" ht="15" hidden="false" customHeight="true" outlineLevel="0" collapsed="false">
      <c r="A70" s="5" t="s">
        <v>74</v>
      </c>
      <c r="B70" s="5" t="s">
        <v>99</v>
      </c>
      <c r="C70" s="5" t="s">
        <v>86</v>
      </c>
      <c r="D70" s="5" t="s">
        <v>87</v>
      </c>
      <c r="E70" s="5" t="s">
        <v>120</v>
      </c>
      <c r="F70" s="5" t="n">
        <v>115</v>
      </c>
      <c r="G70" s="6" t="n">
        <v>0.0999325808667766</v>
      </c>
      <c r="H70" s="6" t="n">
        <v>0.0141039664015814</v>
      </c>
      <c r="I70" s="7" t="n">
        <v>1.38619310736759E-012</v>
      </c>
      <c r="J70" s="6" t="n">
        <f aca="false">EXP(G70)</f>
        <v>1.10509641092192</v>
      </c>
      <c r="K70" s="6" t="n">
        <f aca="false">EXP(G70-1.96*H70)</f>
        <v>1.07496575657097</v>
      </c>
      <c r="L70" s="6" t="n">
        <f aca="false">EXP(G70+1.96*H70)</f>
        <v>1.13607160969307</v>
      </c>
      <c r="M70" s="5" t="s">
        <v>78</v>
      </c>
      <c r="N70" s="5"/>
    </row>
    <row r="71" customFormat="false" ht="15" hidden="false" customHeight="true" outlineLevel="0" collapsed="false">
      <c r="A71" s="5" t="s">
        <v>74</v>
      </c>
      <c r="B71" s="5" t="s">
        <v>99</v>
      </c>
      <c r="C71" s="5" t="s">
        <v>86</v>
      </c>
      <c r="D71" s="5" t="s">
        <v>87</v>
      </c>
      <c r="E71" s="5" t="s">
        <v>121</v>
      </c>
      <c r="F71" s="5" t="n">
        <v>115</v>
      </c>
      <c r="G71" s="6" t="n">
        <v>0.111336436538339</v>
      </c>
      <c r="H71" s="6" t="n">
        <v>0.0233664862952285</v>
      </c>
      <c r="I71" s="7" t="n">
        <v>5.66436271709413E-006</v>
      </c>
      <c r="J71" s="6" t="n">
        <f aca="false">EXP(G71)</f>
        <v>1.11777090257468</v>
      </c>
      <c r="K71" s="6" t="n">
        <f aca="false">EXP(G71-1.96*H71)</f>
        <v>1.06773344216637</v>
      </c>
      <c r="L71" s="6" t="n">
        <f aca="false">EXP(G71+1.96*H71)</f>
        <v>1.17015328105452</v>
      </c>
      <c r="M71" s="5" t="s">
        <v>78</v>
      </c>
      <c r="N71" s="5"/>
    </row>
    <row r="72" customFormat="false" ht="15" hidden="false" customHeight="true" outlineLevel="0" collapsed="false">
      <c r="A72" s="5" t="s">
        <v>74</v>
      </c>
      <c r="B72" s="5" t="s">
        <v>99</v>
      </c>
      <c r="C72" s="5" t="s">
        <v>86</v>
      </c>
      <c r="D72" s="5" t="s">
        <v>87</v>
      </c>
      <c r="E72" s="5" t="s">
        <v>122</v>
      </c>
      <c r="F72" s="5" t="n">
        <v>115</v>
      </c>
      <c r="G72" s="6" t="n">
        <v>0.0979647429752233</v>
      </c>
      <c r="H72" s="6" t="n">
        <v>1.22556123532235</v>
      </c>
      <c r="I72" s="7" t="n">
        <v>0.93628927373438</v>
      </c>
      <c r="J72" s="6" t="n">
        <f aca="false">EXP(G72)</f>
        <v>1.10292389860778</v>
      </c>
      <c r="K72" s="6" t="s">
        <v>81</v>
      </c>
      <c r="L72" s="6" t="s">
        <v>81</v>
      </c>
      <c r="M72" s="5" t="s">
        <v>78</v>
      </c>
      <c r="N72" s="5" t="s">
        <v>123</v>
      </c>
    </row>
    <row r="73" customFormat="false" ht="15" hidden="false" customHeight="true" outlineLevel="0" collapsed="false">
      <c r="A73" s="5" t="s">
        <v>74</v>
      </c>
      <c r="B73" s="5" t="s">
        <v>99</v>
      </c>
      <c r="C73" s="5" t="s">
        <v>86</v>
      </c>
      <c r="D73" s="5" t="s">
        <v>87</v>
      </c>
      <c r="E73" s="5" t="s">
        <v>124</v>
      </c>
      <c r="F73" s="5" t="n">
        <v>115</v>
      </c>
      <c r="G73" s="6" t="n">
        <v>0.426086956521739</v>
      </c>
      <c r="H73" s="6"/>
      <c r="I73" s="7" t="n">
        <v>5.57142320848037E-006</v>
      </c>
      <c r="J73" s="6" t="n">
        <f aca="false">EXP(G73)</f>
        <v>1.53125392185912</v>
      </c>
      <c r="K73" s="6" t="s">
        <v>81</v>
      </c>
      <c r="L73" s="6" t="s">
        <v>81</v>
      </c>
      <c r="M73" s="5" t="s">
        <v>78</v>
      </c>
      <c r="N73" s="5" t="s">
        <v>125</v>
      </c>
    </row>
    <row r="74" customFormat="false" ht="15" hidden="false" customHeight="true" outlineLevel="0" collapsed="false">
      <c r="A74" s="5" t="s">
        <v>88</v>
      </c>
      <c r="B74" s="5" t="s">
        <v>126</v>
      </c>
      <c r="C74" s="5" t="s">
        <v>75</v>
      </c>
      <c r="D74" s="5" t="s">
        <v>76</v>
      </c>
      <c r="E74" s="5" t="s">
        <v>100</v>
      </c>
      <c r="F74" s="5" t="n">
        <v>464</v>
      </c>
      <c r="G74" s="6" t="n">
        <v>0.187434525933196</v>
      </c>
      <c r="H74" s="6" t="n">
        <v>0.0395378980603419</v>
      </c>
      <c r="I74" s="7" t="n">
        <v>2.13055222766608E-006</v>
      </c>
      <c r="J74" s="6" t="n">
        <f aca="false">EXP(G74)</f>
        <v>1.20615127520646</v>
      </c>
      <c r="K74" s="6" t="n">
        <f aca="false">EXP(G74-1.96*H74)</f>
        <v>1.11621137007599</v>
      </c>
      <c r="L74" s="6" t="n">
        <f aca="false">EXP(G74+1.96*H74)</f>
        <v>1.30333818278802</v>
      </c>
      <c r="M74" s="5" t="s">
        <v>78</v>
      </c>
      <c r="N74" s="5"/>
    </row>
    <row r="75" customFormat="false" ht="15" hidden="false" customHeight="true" outlineLevel="0" collapsed="false">
      <c r="A75" s="5" t="s">
        <v>88</v>
      </c>
      <c r="B75" s="5" t="s">
        <v>126</v>
      </c>
      <c r="C75" s="5" t="s">
        <v>75</v>
      </c>
      <c r="D75" s="5" t="s">
        <v>76</v>
      </c>
      <c r="E75" s="5" t="s">
        <v>101</v>
      </c>
      <c r="F75" s="5" t="n">
        <v>464</v>
      </c>
      <c r="G75" s="6" t="n">
        <v>0.187434525933196</v>
      </c>
      <c r="H75" s="6" t="n">
        <v>0.0395378980603419</v>
      </c>
      <c r="I75" s="7" t="n">
        <v>2.13055222766608E-006</v>
      </c>
      <c r="J75" s="6" t="n">
        <f aca="false">EXP(G75)</f>
        <v>1.20615127520646</v>
      </c>
      <c r="K75" s="6" t="n">
        <f aca="false">EXP(G75-1.96*H75)</f>
        <v>1.11621137007599</v>
      </c>
      <c r="L75" s="6" t="n">
        <f aca="false">EXP(G75+1.96*H75)</f>
        <v>1.30333818278802</v>
      </c>
      <c r="M75" s="5" t="s">
        <v>78</v>
      </c>
      <c r="N75" s="5" t="s">
        <v>102</v>
      </c>
    </row>
    <row r="76" customFormat="false" ht="15" hidden="false" customHeight="true" outlineLevel="0" collapsed="false">
      <c r="A76" s="5" t="s">
        <v>88</v>
      </c>
      <c r="B76" s="5" t="s">
        <v>126</v>
      </c>
      <c r="C76" s="5" t="s">
        <v>75</v>
      </c>
      <c r="D76" s="5" t="s">
        <v>76</v>
      </c>
      <c r="E76" s="5" t="s">
        <v>103</v>
      </c>
      <c r="F76" s="5" t="n">
        <v>464</v>
      </c>
      <c r="G76" s="6" t="n">
        <v>0.187434525933196</v>
      </c>
      <c r="H76" s="6" t="n">
        <v>0.0349244912858588</v>
      </c>
      <c r="I76" s="7" t="n">
        <v>8.01233846163667E-008</v>
      </c>
      <c r="J76" s="6" t="n">
        <f aca="false">EXP(G76)</f>
        <v>1.20615127520646</v>
      </c>
      <c r="K76" s="6" t="n">
        <f aca="false">EXP(G76-1.96*H76)</f>
        <v>1.12635023290786</v>
      </c>
      <c r="L76" s="6" t="n">
        <f aca="false">EXP(G76+1.96*H76)</f>
        <v>1.29160615959244</v>
      </c>
      <c r="M76" s="5" t="s">
        <v>78</v>
      </c>
      <c r="N76" s="5" t="s">
        <v>104</v>
      </c>
    </row>
    <row r="77" customFormat="false" ht="15" hidden="false" customHeight="true" outlineLevel="0" collapsed="false">
      <c r="A77" s="5" t="s">
        <v>88</v>
      </c>
      <c r="B77" s="5" t="s">
        <v>126</v>
      </c>
      <c r="C77" s="5" t="s">
        <v>75</v>
      </c>
      <c r="D77" s="5" t="s">
        <v>76</v>
      </c>
      <c r="E77" s="5" t="s">
        <v>105</v>
      </c>
      <c r="F77" s="5" t="n">
        <v>464</v>
      </c>
      <c r="G77" s="6" t="n">
        <v>0.18741327368719</v>
      </c>
      <c r="H77" s="6" t="n">
        <v>0.0395429820886544</v>
      </c>
      <c r="I77" s="7" t="n">
        <v>2.14264682965341E-006</v>
      </c>
      <c r="J77" s="6" t="n">
        <f aca="false">EXP(G77)</f>
        <v>1.20612564205522</v>
      </c>
      <c r="K77" s="6" t="n">
        <f aca="false">EXP(G77-1.96*H77)</f>
        <v>1.11617652591482</v>
      </c>
      <c r="L77" s="6" t="n">
        <f aca="false">EXP(G77+1.96*H77)</f>
        <v>1.30332347137548</v>
      </c>
      <c r="M77" s="5" t="s">
        <v>78</v>
      </c>
      <c r="N77" s="5" t="s">
        <v>106</v>
      </c>
    </row>
    <row r="78" customFormat="false" ht="15" hidden="false" customHeight="true" outlineLevel="0" collapsed="false">
      <c r="A78" s="5" t="s">
        <v>88</v>
      </c>
      <c r="B78" s="5" t="s">
        <v>126</v>
      </c>
      <c r="C78" s="5" t="s">
        <v>75</v>
      </c>
      <c r="D78" s="5" t="s">
        <v>76</v>
      </c>
      <c r="E78" s="5" t="s">
        <v>107</v>
      </c>
      <c r="F78" s="5" t="n">
        <v>464</v>
      </c>
      <c r="G78" s="6" t="n">
        <v>0.189277626867675</v>
      </c>
      <c r="H78" s="6" t="n">
        <v>0.0352534678216488</v>
      </c>
      <c r="I78" s="7" t="n">
        <v>7.91525312982601E-008</v>
      </c>
      <c r="J78" s="6" t="n">
        <f aca="false">EXP(G78)</f>
        <v>1.20837638366876</v>
      </c>
      <c r="K78" s="6" t="n">
        <f aca="false">EXP(G78-1.96*H78)</f>
        <v>1.12770075519967</v>
      </c>
      <c r="L78" s="6" t="n">
        <f aca="false">EXP(G78+1.96*H78)</f>
        <v>1.29482354062081</v>
      </c>
      <c r="M78" s="5" t="s">
        <v>78</v>
      </c>
      <c r="N78" s="5"/>
    </row>
    <row r="79" customFormat="false" ht="15" hidden="false" customHeight="true" outlineLevel="0" collapsed="false">
      <c r="A79" s="5" t="s">
        <v>88</v>
      </c>
      <c r="B79" s="5" t="s">
        <v>126</v>
      </c>
      <c r="C79" s="5" t="s">
        <v>75</v>
      </c>
      <c r="D79" s="5" t="s">
        <v>76</v>
      </c>
      <c r="E79" s="5" t="s">
        <v>108</v>
      </c>
      <c r="F79" s="5" t="n">
        <v>464</v>
      </c>
      <c r="G79" s="6" t="n">
        <v>0.333822026461788</v>
      </c>
      <c r="H79" s="6" t="n">
        <v>0.0997370896079148</v>
      </c>
      <c r="I79" s="7" t="n">
        <v>0.00088356290965633</v>
      </c>
      <c r="J79" s="6" t="n">
        <f aca="false">EXP(G79)</f>
        <v>1.39629461796612</v>
      </c>
      <c r="K79" s="6" t="n">
        <f aca="false">EXP(G79-1.96*H79)</f>
        <v>1.1483628631423</v>
      </c>
      <c r="L79" s="6" t="n">
        <f aca="false">EXP(G79+1.96*H79)</f>
        <v>1.69775488457221</v>
      </c>
      <c r="M79" s="5" t="s">
        <v>78</v>
      </c>
      <c r="N79" s="5"/>
    </row>
    <row r="80" customFormat="false" ht="15" hidden="false" customHeight="true" outlineLevel="0" collapsed="false">
      <c r="A80" s="5" t="s">
        <v>88</v>
      </c>
      <c r="B80" s="5" t="s">
        <v>126</v>
      </c>
      <c r="C80" s="5" t="s">
        <v>75</v>
      </c>
      <c r="D80" s="5" t="s">
        <v>76</v>
      </c>
      <c r="E80" s="5" t="s">
        <v>109</v>
      </c>
      <c r="F80" s="5" t="n">
        <v>464</v>
      </c>
      <c r="G80" s="6" t="n">
        <v>0.21506171729141</v>
      </c>
      <c r="H80" s="6" t="n">
        <v>0.0594534821586524</v>
      </c>
      <c r="I80" s="7" t="n">
        <v>0</v>
      </c>
      <c r="J80" s="6" t="n">
        <f aca="false">EXP(G80)</f>
        <v>1.23993842024545</v>
      </c>
      <c r="K80" s="6" t="n">
        <f aca="false">EXP(G80-1.96*H80)</f>
        <v>1.10355070207455</v>
      </c>
      <c r="L80" s="6" t="n">
        <f aca="false">EXP(G80+1.96*H80)</f>
        <v>1.39318228252726</v>
      </c>
      <c r="M80" s="5" t="s">
        <v>78</v>
      </c>
      <c r="N80" s="5" t="s">
        <v>110</v>
      </c>
    </row>
    <row r="81" customFormat="false" ht="15" hidden="false" customHeight="true" outlineLevel="0" collapsed="false">
      <c r="A81" s="5" t="s">
        <v>88</v>
      </c>
      <c r="B81" s="5" t="s">
        <v>126</v>
      </c>
      <c r="C81" s="5" t="s">
        <v>75</v>
      </c>
      <c r="D81" s="5" t="s">
        <v>76</v>
      </c>
      <c r="E81" s="5" t="s">
        <v>111</v>
      </c>
      <c r="F81" s="5" t="n">
        <v>464</v>
      </c>
      <c r="G81" s="6" t="n">
        <v>0.180062190476249</v>
      </c>
      <c r="H81" s="6" t="n">
        <v>0.0607886178541685</v>
      </c>
      <c r="I81" s="7" t="n">
        <v>0.00305544848438079</v>
      </c>
      <c r="J81" s="6" t="n">
        <f aca="false">EXP(G81)</f>
        <v>1.19729182095506</v>
      </c>
      <c r="K81" s="6" t="n">
        <f aca="false">EXP(G81-1.96*H81)</f>
        <v>1.0628101652827</v>
      </c>
      <c r="L81" s="6" t="n">
        <f aca="false">EXP(G81+1.96*H81)</f>
        <v>1.34878998277606</v>
      </c>
      <c r="M81" s="5" t="s">
        <v>78</v>
      </c>
      <c r="N81" s="5"/>
    </row>
    <row r="82" customFormat="false" ht="15" hidden="false" customHeight="true" outlineLevel="0" collapsed="false">
      <c r="A82" s="5" t="s">
        <v>88</v>
      </c>
      <c r="B82" s="5" t="s">
        <v>126</v>
      </c>
      <c r="C82" s="5" t="s">
        <v>75</v>
      </c>
      <c r="D82" s="5" t="s">
        <v>76</v>
      </c>
      <c r="E82" s="5" t="s">
        <v>112</v>
      </c>
      <c r="F82" s="5" t="n">
        <v>464</v>
      </c>
      <c r="G82" s="6" t="n">
        <v>0.228991300015454</v>
      </c>
      <c r="H82" s="6" t="n">
        <v>0.0610133802242448</v>
      </c>
      <c r="I82" s="7" t="n">
        <v>0.000174638488602059</v>
      </c>
      <c r="J82" s="6" t="n">
        <f aca="false">EXP(G82)</f>
        <v>1.25733110020111</v>
      </c>
      <c r="K82" s="6" t="n">
        <f aca="false">EXP(G82-1.96*H82)</f>
        <v>1.11561416598402</v>
      </c>
      <c r="L82" s="6" t="n">
        <f aca="false">EXP(G82+1.96*H82)</f>
        <v>1.41705039585844</v>
      </c>
      <c r="M82" s="5" t="s">
        <v>78</v>
      </c>
      <c r="N82" s="5"/>
    </row>
    <row r="83" customFormat="false" ht="15" hidden="false" customHeight="true" outlineLevel="0" collapsed="false">
      <c r="A83" s="5" t="s">
        <v>88</v>
      </c>
      <c r="B83" s="5" t="s">
        <v>126</v>
      </c>
      <c r="C83" s="5" t="s">
        <v>75</v>
      </c>
      <c r="D83" s="5" t="s">
        <v>76</v>
      </c>
      <c r="E83" s="5" t="s">
        <v>113</v>
      </c>
      <c r="F83" s="5" t="n">
        <v>464</v>
      </c>
      <c r="G83" s="6" t="n">
        <v>0.223566713089302</v>
      </c>
      <c r="H83" s="6" t="n">
        <v>0.0613076653496199</v>
      </c>
      <c r="I83" s="7" t="n">
        <v>0.000265696327986566</v>
      </c>
      <c r="J83" s="6" t="n">
        <f aca="false">EXP(G83)</f>
        <v>1.25052906415083</v>
      </c>
      <c r="K83" s="6" t="n">
        <f aca="false">EXP(G83-1.96*H83)</f>
        <v>1.10893898520363</v>
      </c>
      <c r="L83" s="6" t="n">
        <f aca="false">EXP(G83+1.96*H83)</f>
        <v>1.41019746005123</v>
      </c>
      <c r="M83" s="5" t="s">
        <v>78</v>
      </c>
      <c r="N83" s="5"/>
    </row>
    <row r="84" customFormat="false" ht="15" hidden="false" customHeight="true" outlineLevel="0" collapsed="false">
      <c r="A84" s="5" t="s">
        <v>88</v>
      </c>
      <c r="B84" s="5" t="s">
        <v>126</v>
      </c>
      <c r="C84" s="5" t="s">
        <v>75</v>
      </c>
      <c r="D84" s="5" t="s">
        <v>76</v>
      </c>
      <c r="E84" s="5" t="s">
        <v>114</v>
      </c>
      <c r="F84" s="5" t="n">
        <v>464</v>
      </c>
      <c r="G84" s="6" t="n">
        <v>0.248741987350643</v>
      </c>
      <c r="H84" s="6" t="n">
        <v>0.183654967497158</v>
      </c>
      <c r="I84" s="7" t="n">
        <v>0.176269913499905</v>
      </c>
      <c r="J84" s="6" t="n">
        <f aca="false">EXP(G84)</f>
        <v>1.28241111209215</v>
      </c>
      <c r="K84" s="6" t="n">
        <f aca="false">EXP(G84-1.96*H84)</f>
        <v>0.894740319208306</v>
      </c>
      <c r="L84" s="6" t="n">
        <f aca="false">EXP(G84+1.96*H84)</f>
        <v>1.83805091277501</v>
      </c>
      <c r="M84" s="5" t="s">
        <v>78</v>
      </c>
      <c r="N84" s="5"/>
    </row>
    <row r="85" customFormat="false" ht="15" hidden="false" customHeight="true" outlineLevel="0" collapsed="false">
      <c r="A85" s="5" t="s">
        <v>88</v>
      </c>
      <c r="B85" s="5" t="s">
        <v>126</v>
      </c>
      <c r="C85" s="5" t="s">
        <v>75</v>
      </c>
      <c r="D85" s="5" t="s">
        <v>76</v>
      </c>
      <c r="E85" s="5" t="s">
        <v>115</v>
      </c>
      <c r="F85" s="5" t="n">
        <v>464</v>
      </c>
      <c r="G85" s="6" t="n">
        <v>0.248741987350643</v>
      </c>
      <c r="H85" s="6" t="n">
        <v>0.195780584186765</v>
      </c>
      <c r="I85" s="7" t="n">
        <v>0.204539613868084</v>
      </c>
      <c r="J85" s="6" t="n">
        <f aca="false">EXP(G85)</f>
        <v>1.28241111209215</v>
      </c>
      <c r="K85" s="6" t="n">
        <f aca="false">EXP(G85-1.96*H85)</f>
        <v>0.873726433339464</v>
      </c>
      <c r="L85" s="6" t="n">
        <f aca="false">EXP(G85+1.96*H85)</f>
        <v>1.88225764686059</v>
      </c>
      <c r="M85" s="5" t="s">
        <v>78</v>
      </c>
      <c r="N85" s="5" t="s">
        <v>116</v>
      </c>
    </row>
    <row r="86" customFormat="false" ht="15" hidden="false" customHeight="true" outlineLevel="0" collapsed="false">
      <c r="A86" s="5" t="s">
        <v>88</v>
      </c>
      <c r="B86" s="5" t="s">
        <v>126</v>
      </c>
      <c r="C86" s="5" t="s">
        <v>75</v>
      </c>
      <c r="D86" s="5" t="s">
        <v>76</v>
      </c>
      <c r="E86" s="5" t="s">
        <v>117</v>
      </c>
      <c r="F86" s="5" t="n">
        <v>464</v>
      </c>
      <c r="G86" s="6" t="n">
        <v>0.248741987350643</v>
      </c>
      <c r="H86" s="6" t="n">
        <v>0.146636728502048</v>
      </c>
      <c r="I86" s="7" t="n">
        <v>0.0904985315384473</v>
      </c>
      <c r="J86" s="6" t="n">
        <f aca="false">EXP(G86)</f>
        <v>1.28241111209215</v>
      </c>
      <c r="K86" s="6" t="n">
        <f aca="false">EXP(G86-1.96*H86)</f>
        <v>0.962071987039826</v>
      </c>
      <c r="L86" s="6" t="n">
        <f aca="false">EXP(G86+1.96*H86)</f>
        <v>1.7094128948475</v>
      </c>
      <c r="M86" s="5" t="s">
        <v>78</v>
      </c>
      <c r="N86" s="5"/>
    </row>
    <row r="87" customFormat="false" ht="15" hidden="false" customHeight="true" outlineLevel="0" collapsed="false">
      <c r="A87" s="5" t="s">
        <v>88</v>
      </c>
      <c r="B87" s="5" t="s">
        <v>126</v>
      </c>
      <c r="C87" s="5" t="s">
        <v>75</v>
      </c>
      <c r="D87" s="5" t="s">
        <v>76</v>
      </c>
      <c r="E87" s="5" t="s">
        <v>118</v>
      </c>
      <c r="F87" s="5" t="n">
        <v>464</v>
      </c>
      <c r="G87" s="6" t="n">
        <v>0.248741987350643</v>
      </c>
      <c r="H87" s="6" t="n">
        <v>0.140199805950924</v>
      </c>
      <c r="I87" s="7" t="n">
        <v>0.0766877800130965</v>
      </c>
      <c r="J87" s="6" t="n">
        <f aca="false">EXP(G87)</f>
        <v>1.28241111209215</v>
      </c>
      <c r="K87" s="6" t="n">
        <f aca="false">EXP(G87-1.96*H87)</f>
        <v>0.974286732304504</v>
      </c>
      <c r="L87" s="6" t="n">
        <f aca="false">EXP(G87+1.96*H87)</f>
        <v>1.68798178799733</v>
      </c>
      <c r="M87" s="5" t="s">
        <v>78</v>
      </c>
      <c r="N87" s="5" t="s">
        <v>119</v>
      </c>
    </row>
    <row r="88" customFormat="false" ht="15" hidden="false" customHeight="true" outlineLevel="0" collapsed="false">
      <c r="A88" s="5" t="s">
        <v>88</v>
      </c>
      <c r="B88" s="5" t="s">
        <v>126</v>
      </c>
      <c r="C88" s="5" t="s">
        <v>75</v>
      </c>
      <c r="D88" s="5" t="s">
        <v>76</v>
      </c>
      <c r="E88" s="5" t="s">
        <v>120</v>
      </c>
      <c r="F88" s="5" t="n">
        <v>464</v>
      </c>
      <c r="G88" s="6" t="n">
        <v>0.180894862161888</v>
      </c>
      <c r="H88" s="6" t="n">
        <v>0.0412568286484899</v>
      </c>
      <c r="I88" s="7" t="n">
        <v>1.161968794272E-005</v>
      </c>
      <c r="J88" s="6" t="n">
        <f aca="false">EXP(G88)</f>
        <v>1.19828918713548</v>
      </c>
      <c r="K88" s="6" t="n">
        <f aca="false">EXP(G88-1.96*H88)</f>
        <v>1.10520570720534</v>
      </c>
      <c r="L88" s="6" t="n">
        <f aca="false">EXP(G88+1.96*H88)</f>
        <v>1.29921241506856</v>
      </c>
      <c r="M88" s="5" t="s">
        <v>78</v>
      </c>
      <c r="N88" s="5"/>
    </row>
    <row r="89" customFormat="false" ht="15" hidden="false" customHeight="true" outlineLevel="0" collapsed="false">
      <c r="A89" s="5" t="s">
        <v>88</v>
      </c>
      <c r="B89" s="5" t="s">
        <v>126</v>
      </c>
      <c r="C89" s="5" t="s">
        <v>75</v>
      </c>
      <c r="D89" s="5" t="s">
        <v>76</v>
      </c>
      <c r="E89" s="5" t="s">
        <v>121</v>
      </c>
      <c r="F89" s="5" t="n">
        <v>464</v>
      </c>
      <c r="G89" s="6" t="n">
        <v>0.261550149042891</v>
      </c>
      <c r="H89" s="6" t="n">
        <v>0.0662126469486195</v>
      </c>
      <c r="I89" s="7" t="n">
        <v>9.02979120200432E-005</v>
      </c>
      <c r="J89" s="6" t="n">
        <f aca="false">EXP(G89)</f>
        <v>1.29894208064069</v>
      </c>
      <c r="K89" s="6" t="n">
        <f aca="false">EXP(G89-1.96*H89)</f>
        <v>1.14084972895022</v>
      </c>
      <c r="L89" s="6" t="n">
        <f aca="false">EXP(G89+1.96*H89)</f>
        <v>1.47894195531932</v>
      </c>
      <c r="M89" s="5" t="s">
        <v>78</v>
      </c>
      <c r="N89" s="5"/>
    </row>
    <row r="90" customFormat="false" ht="15" hidden="false" customHeight="true" outlineLevel="0" collapsed="false">
      <c r="A90" s="5" t="s">
        <v>88</v>
      </c>
      <c r="B90" s="5" t="s">
        <v>126</v>
      </c>
      <c r="C90" s="5" t="s">
        <v>75</v>
      </c>
      <c r="D90" s="5" t="s">
        <v>76</v>
      </c>
      <c r="E90" s="5" t="s">
        <v>122</v>
      </c>
      <c r="F90" s="5" t="n">
        <v>464</v>
      </c>
      <c r="G90" s="6" t="n">
        <v>0.144606902492551</v>
      </c>
      <c r="H90" s="6" t="n">
        <v>2.72417144740869</v>
      </c>
      <c r="I90" s="7" t="n">
        <v>0.957665861339377</v>
      </c>
      <c r="J90" s="6" t="n">
        <f aca="false">EXP(G90)</f>
        <v>1.15558522330162</v>
      </c>
      <c r="K90" s="6" t="s">
        <v>81</v>
      </c>
      <c r="L90" s="6" t="s">
        <v>81</v>
      </c>
      <c r="M90" s="5" t="s">
        <v>78</v>
      </c>
      <c r="N90" s="5" t="s">
        <v>123</v>
      </c>
    </row>
    <row r="91" customFormat="false" ht="15" hidden="false" customHeight="true" outlineLevel="0" collapsed="false">
      <c r="A91" s="5" t="s">
        <v>88</v>
      </c>
      <c r="B91" s="5" t="s">
        <v>126</v>
      </c>
      <c r="C91" s="5" t="s">
        <v>75</v>
      </c>
      <c r="D91" s="5" t="s">
        <v>76</v>
      </c>
      <c r="E91" s="5" t="s">
        <v>124</v>
      </c>
      <c r="F91" s="5" t="n">
        <v>464</v>
      </c>
      <c r="G91" s="6" t="n">
        <v>0.103448275862069</v>
      </c>
      <c r="H91" s="6"/>
      <c r="I91" s="7" t="n">
        <v>0.029006462544626</v>
      </c>
      <c r="J91" s="6" t="n">
        <f aca="false">EXP(G91)</f>
        <v>1.10898843041102</v>
      </c>
      <c r="K91" s="6" t="s">
        <v>81</v>
      </c>
      <c r="L91" s="6" t="s">
        <v>81</v>
      </c>
      <c r="M91" s="5" t="s">
        <v>78</v>
      </c>
      <c r="N91" s="5" t="s">
        <v>125</v>
      </c>
    </row>
    <row r="92" customFormat="false" ht="15" hidden="false" customHeight="true" outlineLevel="0" collapsed="false">
      <c r="A92" s="5" t="s">
        <v>88</v>
      </c>
      <c r="B92" s="5" t="s">
        <v>126</v>
      </c>
      <c r="C92" s="5" t="s">
        <v>79</v>
      </c>
      <c r="D92" s="5" t="s">
        <v>80</v>
      </c>
      <c r="E92" s="5" t="s">
        <v>100</v>
      </c>
      <c r="F92" s="5" t="n">
        <v>484</v>
      </c>
      <c r="G92" s="6" t="n">
        <v>0.00128819604522055</v>
      </c>
      <c r="H92" s="6" t="n">
        <v>0.000878439083753758</v>
      </c>
      <c r="I92" s="7" t="n">
        <v>0.142522928197655</v>
      </c>
      <c r="J92" s="6" t="s">
        <v>81</v>
      </c>
      <c r="K92" s="6" t="s">
        <v>81</v>
      </c>
      <c r="L92" s="6" t="s">
        <v>81</v>
      </c>
      <c r="M92" s="5" t="s">
        <v>82</v>
      </c>
      <c r="N92" s="5"/>
    </row>
    <row r="93" customFormat="false" ht="15" hidden="false" customHeight="true" outlineLevel="0" collapsed="false">
      <c r="A93" s="5" t="s">
        <v>88</v>
      </c>
      <c r="B93" s="5" t="s">
        <v>126</v>
      </c>
      <c r="C93" s="5" t="s">
        <v>79</v>
      </c>
      <c r="D93" s="5" t="s">
        <v>80</v>
      </c>
      <c r="E93" s="5" t="s">
        <v>101</v>
      </c>
      <c r="F93" s="5" t="n">
        <v>484</v>
      </c>
      <c r="G93" s="6" t="n">
        <v>0.00128819604522055</v>
      </c>
      <c r="H93" s="6" t="n">
        <v>0.000878439083753758</v>
      </c>
      <c r="I93" s="7" t="n">
        <v>0.142522928197655</v>
      </c>
      <c r="J93" s="6" t="s">
        <v>81</v>
      </c>
      <c r="K93" s="6" t="s">
        <v>81</v>
      </c>
      <c r="L93" s="6" t="s">
        <v>81</v>
      </c>
      <c r="M93" s="5" t="s">
        <v>82</v>
      </c>
      <c r="N93" s="5" t="s">
        <v>102</v>
      </c>
    </row>
    <row r="94" customFormat="false" ht="15" hidden="false" customHeight="true" outlineLevel="0" collapsed="false">
      <c r="A94" s="5" t="s">
        <v>88</v>
      </c>
      <c r="B94" s="5" t="s">
        <v>126</v>
      </c>
      <c r="C94" s="5" t="s">
        <v>79</v>
      </c>
      <c r="D94" s="5" t="s">
        <v>80</v>
      </c>
      <c r="E94" s="5" t="s">
        <v>103</v>
      </c>
      <c r="F94" s="5" t="n">
        <v>484</v>
      </c>
      <c r="G94" s="6" t="n">
        <v>0.00128819604522055</v>
      </c>
      <c r="H94" s="6" t="n">
        <v>0.000861110250431171</v>
      </c>
      <c r="I94" s="7" t="n">
        <v>0.134661187457602</v>
      </c>
      <c r="J94" s="6" t="s">
        <v>81</v>
      </c>
      <c r="K94" s="6" t="s">
        <v>81</v>
      </c>
      <c r="L94" s="6" t="s">
        <v>81</v>
      </c>
      <c r="M94" s="5" t="s">
        <v>82</v>
      </c>
      <c r="N94" s="5" t="s">
        <v>104</v>
      </c>
    </row>
    <row r="95" customFormat="false" ht="15" hidden="false" customHeight="true" outlineLevel="0" collapsed="false">
      <c r="A95" s="5" t="s">
        <v>88</v>
      </c>
      <c r="B95" s="5" t="s">
        <v>126</v>
      </c>
      <c r="C95" s="5" t="s">
        <v>79</v>
      </c>
      <c r="D95" s="5" t="s">
        <v>80</v>
      </c>
      <c r="E95" s="5" t="s">
        <v>105</v>
      </c>
      <c r="F95" s="5" t="n">
        <v>484</v>
      </c>
      <c r="G95" s="6" t="n">
        <v>0.00128819357531862</v>
      </c>
      <c r="H95" s="6" t="n">
        <v>0.00087843857171052</v>
      </c>
      <c r="I95" s="7" t="n">
        <v>0.142523460957518</v>
      </c>
      <c r="J95" s="6" t="s">
        <v>81</v>
      </c>
      <c r="K95" s="6" t="s">
        <v>81</v>
      </c>
      <c r="L95" s="6" t="s">
        <v>81</v>
      </c>
      <c r="M95" s="5" t="s">
        <v>82</v>
      </c>
      <c r="N95" s="5" t="s">
        <v>106</v>
      </c>
    </row>
    <row r="96" customFormat="false" ht="15" hidden="false" customHeight="true" outlineLevel="0" collapsed="false">
      <c r="A96" s="5" t="s">
        <v>88</v>
      </c>
      <c r="B96" s="5" t="s">
        <v>126</v>
      </c>
      <c r="C96" s="5" t="s">
        <v>79</v>
      </c>
      <c r="D96" s="5" t="s">
        <v>80</v>
      </c>
      <c r="E96" s="5" t="s">
        <v>107</v>
      </c>
      <c r="F96" s="5" t="n">
        <v>484</v>
      </c>
      <c r="G96" s="6" t="n">
        <v>0.00129508094256296</v>
      </c>
      <c r="H96" s="6" t="n">
        <v>0.000867187456609708</v>
      </c>
      <c r="I96" s="7" t="n">
        <v>0.135325515857801</v>
      </c>
      <c r="J96" s="6" t="s">
        <v>81</v>
      </c>
      <c r="K96" s="6" t="s">
        <v>81</v>
      </c>
      <c r="L96" s="6" t="s">
        <v>81</v>
      </c>
      <c r="M96" s="5" t="s">
        <v>82</v>
      </c>
      <c r="N96" s="5"/>
    </row>
    <row r="97" customFormat="false" ht="15" hidden="false" customHeight="true" outlineLevel="0" collapsed="false">
      <c r="A97" s="5" t="s">
        <v>88</v>
      </c>
      <c r="B97" s="5" t="s">
        <v>126</v>
      </c>
      <c r="C97" s="5" t="s">
        <v>79</v>
      </c>
      <c r="D97" s="5" t="s">
        <v>80</v>
      </c>
      <c r="E97" s="5" t="s">
        <v>108</v>
      </c>
      <c r="F97" s="5" t="n">
        <v>484</v>
      </c>
      <c r="G97" s="6" t="n">
        <v>0.00140370519666684</v>
      </c>
      <c r="H97" s="6" t="n">
        <v>0.00226253612229317</v>
      </c>
      <c r="I97" s="7" t="n">
        <v>0.535279610453031</v>
      </c>
      <c r="J97" s="6" t="s">
        <v>81</v>
      </c>
      <c r="K97" s="6" t="s">
        <v>81</v>
      </c>
      <c r="L97" s="6" t="s">
        <v>81</v>
      </c>
      <c r="M97" s="5" t="s">
        <v>82</v>
      </c>
      <c r="N97" s="5"/>
    </row>
    <row r="98" customFormat="false" ht="15" hidden="false" customHeight="true" outlineLevel="0" collapsed="false">
      <c r="A98" s="5" t="s">
        <v>88</v>
      </c>
      <c r="B98" s="5" t="s">
        <v>126</v>
      </c>
      <c r="C98" s="5" t="s">
        <v>79</v>
      </c>
      <c r="D98" s="5" t="s">
        <v>80</v>
      </c>
      <c r="E98" s="5" t="s">
        <v>109</v>
      </c>
      <c r="F98" s="5" t="n">
        <v>484</v>
      </c>
      <c r="G98" s="6" t="n">
        <v>0.000958297502480314</v>
      </c>
      <c r="H98" s="6" t="n">
        <v>0.00225148320068229</v>
      </c>
      <c r="I98" s="7" t="n">
        <v>0.343</v>
      </c>
      <c r="J98" s="6" t="s">
        <v>81</v>
      </c>
      <c r="K98" s="6" t="s">
        <v>81</v>
      </c>
      <c r="L98" s="6" t="s">
        <v>81</v>
      </c>
      <c r="M98" s="5" t="s">
        <v>82</v>
      </c>
      <c r="N98" s="5" t="s">
        <v>110</v>
      </c>
    </row>
    <row r="99" customFormat="false" ht="15" hidden="false" customHeight="true" outlineLevel="0" collapsed="false">
      <c r="A99" s="5" t="s">
        <v>88</v>
      </c>
      <c r="B99" s="5" t="s">
        <v>126</v>
      </c>
      <c r="C99" s="5" t="s">
        <v>79</v>
      </c>
      <c r="D99" s="5" t="s">
        <v>80</v>
      </c>
      <c r="E99" s="5" t="s">
        <v>111</v>
      </c>
      <c r="F99" s="5" t="n">
        <v>484</v>
      </c>
      <c r="G99" s="6" t="n">
        <v>0.00212558595731023</v>
      </c>
      <c r="H99" s="6" t="n">
        <v>0.00127820458787337</v>
      </c>
      <c r="I99" s="7" t="n">
        <v>0.0963231277159802</v>
      </c>
      <c r="J99" s="6" t="s">
        <v>81</v>
      </c>
      <c r="K99" s="6" t="s">
        <v>81</v>
      </c>
      <c r="L99" s="6" t="s">
        <v>81</v>
      </c>
      <c r="M99" s="5" t="s">
        <v>82</v>
      </c>
      <c r="N99" s="5"/>
    </row>
    <row r="100" customFormat="false" ht="15" hidden="false" customHeight="true" outlineLevel="0" collapsed="false">
      <c r="A100" s="5" t="s">
        <v>88</v>
      </c>
      <c r="B100" s="5" t="s">
        <v>126</v>
      </c>
      <c r="C100" s="5" t="s">
        <v>79</v>
      </c>
      <c r="D100" s="5" t="s">
        <v>80</v>
      </c>
      <c r="E100" s="5" t="s">
        <v>112</v>
      </c>
      <c r="F100" s="5" t="n">
        <v>484</v>
      </c>
      <c r="G100" s="6" t="n">
        <v>0.000176847443025443</v>
      </c>
      <c r="H100" s="6" t="n">
        <v>0.00160564789317736</v>
      </c>
      <c r="I100" s="7" t="n">
        <v>0.912297662081537</v>
      </c>
      <c r="J100" s="6" t="s">
        <v>81</v>
      </c>
      <c r="K100" s="6" t="s">
        <v>81</v>
      </c>
      <c r="L100" s="6" t="s">
        <v>81</v>
      </c>
      <c r="M100" s="5" t="s">
        <v>82</v>
      </c>
      <c r="N100" s="5"/>
    </row>
    <row r="101" customFormat="false" ht="15" hidden="false" customHeight="true" outlineLevel="0" collapsed="false">
      <c r="A101" s="5" t="s">
        <v>88</v>
      </c>
      <c r="B101" s="5" t="s">
        <v>126</v>
      </c>
      <c r="C101" s="5" t="s">
        <v>79</v>
      </c>
      <c r="D101" s="5" t="s">
        <v>80</v>
      </c>
      <c r="E101" s="5" t="s">
        <v>113</v>
      </c>
      <c r="F101" s="5" t="n">
        <v>484</v>
      </c>
      <c r="G101" s="6" t="n">
        <v>-1.1550707574862E-005</v>
      </c>
      <c r="H101" s="6" t="n">
        <v>0.00162105081071144</v>
      </c>
      <c r="I101" s="7" t="n">
        <v>0.994314765957249</v>
      </c>
      <c r="J101" s="6" t="s">
        <v>81</v>
      </c>
      <c r="K101" s="6" t="s">
        <v>81</v>
      </c>
      <c r="L101" s="6" t="s">
        <v>81</v>
      </c>
      <c r="M101" s="5" t="s">
        <v>82</v>
      </c>
      <c r="N101" s="5"/>
    </row>
    <row r="102" customFormat="false" ht="15" hidden="false" customHeight="true" outlineLevel="0" collapsed="false">
      <c r="A102" s="5" t="s">
        <v>88</v>
      </c>
      <c r="B102" s="5" t="s">
        <v>126</v>
      </c>
      <c r="C102" s="5" t="s">
        <v>79</v>
      </c>
      <c r="D102" s="5" t="s">
        <v>80</v>
      </c>
      <c r="E102" s="5" t="s">
        <v>114</v>
      </c>
      <c r="F102" s="5" t="n">
        <v>484</v>
      </c>
      <c r="G102" s="6" t="n">
        <v>0.00344534873643106</v>
      </c>
      <c r="H102" s="6" t="n">
        <v>0.00400630140592527</v>
      </c>
      <c r="I102" s="7" t="n">
        <v>0.390225385468827</v>
      </c>
      <c r="J102" s="6" t="s">
        <v>81</v>
      </c>
      <c r="K102" s="6" t="s">
        <v>81</v>
      </c>
      <c r="L102" s="6" t="s">
        <v>81</v>
      </c>
      <c r="M102" s="5" t="s">
        <v>82</v>
      </c>
      <c r="N102" s="5"/>
    </row>
    <row r="103" customFormat="false" ht="15" hidden="false" customHeight="true" outlineLevel="0" collapsed="false">
      <c r="A103" s="5" t="s">
        <v>88</v>
      </c>
      <c r="B103" s="5" t="s">
        <v>126</v>
      </c>
      <c r="C103" s="5" t="s">
        <v>79</v>
      </c>
      <c r="D103" s="5" t="s">
        <v>80</v>
      </c>
      <c r="E103" s="5" t="s">
        <v>115</v>
      </c>
      <c r="F103" s="5" t="n">
        <v>484</v>
      </c>
      <c r="G103" s="6" t="n">
        <v>0.00344534873643106</v>
      </c>
      <c r="H103" s="6" t="n">
        <v>0.00430801067089216</v>
      </c>
      <c r="I103" s="7" t="n">
        <v>0.424246486731109</v>
      </c>
      <c r="J103" s="6" t="s">
        <v>81</v>
      </c>
      <c r="K103" s="6" t="s">
        <v>81</v>
      </c>
      <c r="L103" s="6" t="s">
        <v>81</v>
      </c>
      <c r="M103" s="5" t="s">
        <v>82</v>
      </c>
      <c r="N103" s="5" t="s">
        <v>116</v>
      </c>
    </row>
    <row r="104" customFormat="false" ht="15" hidden="false" customHeight="true" outlineLevel="0" collapsed="false">
      <c r="A104" s="5" t="s">
        <v>88</v>
      </c>
      <c r="B104" s="5" t="s">
        <v>126</v>
      </c>
      <c r="C104" s="5" t="s">
        <v>79</v>
      </c>
      <c r="D104" s="5" t="s">
        <v>80</v>
      </c>
      <c r="E104" s="5" t="s">
        <v>117</v>
      </c>
      <c r="F104" s="5" t="n">
        <v>484</v>
      </c>
      <c r="G104" s="6" t="n">
        <v>-6.96238206749559E-005</v>
      </c>
      <c r="H104" s="6" t="n">
        <v>0.00236168396668197</v>
      </c>
      <c r="I104" s="7" t="n">
        <v>0.976493481697472</v>
      </c>
      <c r="J104" s="6" t="s">
        <v>81</v>
      </c>
      <c r="K104" s="6" t="s">
        <v>81</v>
      </c>
      <c r="L104" s="6" t="s">
        <v>81</v>
      </c>
      <c r="M104" s="5" t="s">
        <v>82</v>
      </c>
      <c r="N104" s="5"/>
    </row>
    <row r="105" customFormat="false" ht="15" hidden="false" customHeight="true" outlineLevel="0" collapsed="false">
      <c r="A105" s="5" t="s">
        <v>88</v>
      </c>
      <c r="B105" s="5" t="s">
        <v>126</v>
      </c>
      <c r="C105" s="5" t="s">
        <v>79</v>
      </c>
      <c r="D105" s="5" t="s">
        <v>80</v>
      </c>
      <c r="E105" s="5" t="s">
        <v>118</v>
      </c>
      <c r="F105" s="5" t="n">
        <v>484</v>
      </c>
      <c r="G105" s="6" t="n">
        <v>-6.96238206749559E-005</v>
      </c>
      <c r="H105" s="6" t="n">
        <v>0.00240495037262528</v>
      </c>
      <c r="I105" s="7" t="n">
        <v>0.976916257684029</v>
      </c>
      <c r="J105" s="6" t="s">
        <v>81</v>
      </c>
      <c r="K105" s="6" t="s">
        <v>81</v>
      </c>
      <c r="L105" s="6" t="s">
        <v>81</v>
      </c>
      <c r="M105" s="5" t="s">
        <v>82</v>
      </c>
      <c r="N105" s="5" t="s">
        <v>119</v>
      </c>
    </row>
    <row r="106" customFormat="false" ht="15" hidden="false" customHeight="true" outlineLevel="0" collapsed="false">
      <c r="A106" s="5" t="s">
        <v>88</v>
      </c>
      <c r="B106" s="5" t="s">
        <v>126</v>
      </c>
      <c r="C106" s="5" t="s">
        <v>79</v>
      </c>
      <c r="D106" s="5" t="s">
        <v>80</v>
      </c>
      <c r="E106" s="5" t="s">
        <v>120</v>
      </c>
      <c r="F106" s="5" t="n">
        <v>484</v>
      </c>
      <c r="G106" s="6" t="n">
        <v>0.00136607383381774</v>
      </c>
      <c r="H106" s="6" t="n">
        <v>0.000918730762522728</v>
      </c>
      <c r="I106" s="7" t="n">
        <v>0.137037468441084</v>
      </c>
      <c r="J106" s="6" t="s">
        <v>81</v>
      </c>
      <c r="K106" s="6" t="s">
        <v>81</v>
      </c>
      <c r="L106" s="6" t="s">
        <v>81</v>
      </c>
      <c r="M106" s="5" t="s">
        <v>82</v>
      </c>
      <c r="N106" s="5"/>
    </row>
    <row r="107" customFormat="false" ht="15" hidden="false" customHeight="true" outlineLevel="0" collapsed="false">
      <c r="A107" s="5" t="s">
        <v>88</v>
      </c>
      <c r="B107" s="5" t="s">
        <v>126</v>
      </c>
      <c r="C107" s="5" t="s">
        <v>79</v>
      </c>
      <c r="D107" s="5" t="s">
        <v>80</v>
      </c>
      <c r="E107" s="5" t="s">
        <v>121</v>
      </c>
      <c r="F107" s="5" t="n">
        <v>484</v>
      </c>
      <c r="G107" s="6" t="n">
        <v>0.00191911722947436</v>
      </c>
      <c r="H107" s="6" t="n">
        <v>0.00151102693955087</v>
      </c>
      <c r="I107" s="7" t="n">
        <v>0.204670760892966</v>
      </c>
      <c r="J107" s="6" t="s">
        <v>81</v>
      </c>
      <c r="K107" s="6" t="s">
        <v>81</v>
      </c>
      <c r="L107" s="6" t="s">
        <v>81</v>
      </c>
      <c r="M107" s="5" t="s">
        <v>82</v>
      </c>
      <c r="N107" s="5"/>
    </row>
    <row r="108" customFormat="false" ht="15" hidden="false" customHeight="true" outlineLevel="0" collapsed="false">
      <c r="A108" s="5" t="s">
        <v>88</v>
      </c>
      <c r="B108" s="5" t="s">
        <v>126</v>
      </c>
      <c r="C108" s="5" t="s">
        <v>79</v>
      </c>
      <c r="D108" s="5" t="s">
        <v>80</v>
      </c>
      <c r="E108" s="5" t="s">
        <v>122</v>
      </c>
      <c r="F108" s="5" t="n">
        <v>484</v>
      </c>
      <c r="G108" s="6" t="n">
        <v>0.00113620069403234</v>
      </c>
      <c r="H108" s="6" t="n">
        <v>2.60410856512042</v>
      </c>
      <c r="I108" s="7" t="n">
        <v>0.999651874359187</v>
      </c>
      <c r="J108" s="6" t="s">
        <v>81</v>
      </c>
      <c r="K108" s="6" t="s">
        <v>81</v>
      </c>
      <c r="L108" s="6" t="s">
        <v>81</v>
      </c>
      <c r="M108" s="5" t="s">
        <v>82</v>
      </c>
      <c r="N108" s="5" t="s">
        <v>123</v>
      </c>
    </row>
    <row r="109" customFormat="false" ht="15" hidden="false" customHeight="true" outlineLevel="0" collapsed="false">
      <c r="A109" s="5" t="s">
        <v>88</v>
      </c>
      <c r="B109" s="5" t="s">
        <v>126</v>
      </c>
      <c r="C109" s="5" t="s">
        <v>79</v>
      </c>
      <c r="D109" s="5" t="s">
        <v>80</v>
      </c>
      <c r="E109" s="5" t="s">
        <v>124</v>
      </c>
      <c r="F109" s="5" t="n">
        <v>484</v>
      </c>
      <c r="G109" s="6" t="n">
        <v>0.0743801652892562</v>
      </c>
      <c r="H109" s="6"/>
      <c r="I109" s="7" t="n">
        <v>0.111535640804569</v>
      </c>
      <c r="J109" s="6" t="s">
        <v>81</v>
      </c>
      <c r="K109" s="6" t="s">
        <v>81</v>
      </c>
      <c r="L109" s="6" t="s">
        <v>81</v>
      </c>
      <c r="M109" s="5" t="s">
        <v>82</v>
      </c>
      <c r="N109" s="5" t="s">
        <v>125</v>
      </c>
    </row>
    <row r="110" customFormat="false" ht="15" hidden="false" customHeight="true" outlineLevel="0" collapsed="false">
      <c r="A110" s="5" t="s">
        <v>88</v>
      </c>
      <c r="B110" s="5" t="s">
        <v>126</v>
      </c>
      <c r="C110" s="5" t="s">
        <v>83</v>
      </c>
      <c r="D110" s="5" t="s">
        <v>84</v>
      </c>
      <c r="E110" s="5" t="s">
        <v>100</v>
      </c>
      <c r="F110" s="5" t="n">
        <v>480</v>
      </c>
      <c r="G110" s="6" t="n">
        <v>0.121646954775747</v>
      </c>
      <c r="H110" s="6" t="n">
        <v>0.0410701638889498</v>
      </c>
      <c r="I110" s="7" t="n">
        <v>0.00305717176296422</v>
      </c>
      <c r="J110" s="6" t="n">
        <f aca="false">EXP(G110)</f>
        <v>1.12935531788862</v>
      </c>
      <c r="K110" s="6" t="n">
        <f aca="false">EXP(G110-1.96*H110)</f>
        <v>1.04200780484079</v>
      </c>
      <c r="L110" s="6" t="n">
        <f aca="false">EXP(G110+1.96*H110)</f>
        <v>1.22402483754734</v>
      </c>
      <c r="M110" s="5" t="s">
        <v>78</v>
      </c>
      <c r="N110" s="5"/>
    </row>
    <row r="111" customFormat="false" ht="15" hidden="false" customHeight="true" outlineLevel="0" collapsed="false">
      <c r="A111" s="5" t="s">
        <v>88</v>
      </c>
      <c r="B111" s="5" t="s">
        <v>126</v>
      </c>
      <c r="C111" s="5" t="s">
        <v>83</v>
      </c>
      <c r="D111" s="5" t="s">
        <v>84</v>
      </c>
      <c r="E111" s="5" t="s">
        <v>101</v>
      </c>
      <c r="F111" s="5" t="n">
        <v>480</v>
      </c>
      <c r="G111" s="6" t="n">
        <v>0.121646954775747</v>
      </c>
      <c r="H111" s="6" t="n">
        <v>0.0410701638889498</v>
      </c>
      <c r="I111" s="7" t="n">
        <v>0.00305717176296422</v>
      </c>
      <c r="J111" s="6" t="n">
        <f aca="false">EXP(G111)</f>
        <v>1.12935531788862</v>
      </c>
      <c r="K111" s="6" t="n">
        <f aca="false">EXP(G111-1.96*H111)</f>
        <v>1.04200780484079</v>
      </c>
      <c r="L111" s="6" t="n">
        <f aca="false">EXP(G111+1.96*H111)</f>
        <v>1.22402483754734</v>
      </c>
      <c r="M111" s="5" t="s">
        <v>78</v>
      </c>
      <c r="N111" s="5" t="s">
        <v>102</v>
      </c>
    </row>
    <row r="112" customFormat="false" ht="15" hidden="false" customHeight="true" outlineLevel="0" collapsed="false">
      <c r="A112" s="5" t="s">
        <v>88</v>
      </c>
      <c r="B112" s="5" t="s">
        <v>126</v>
      </c>
      <c r="C112" s="5" t="s">
        <v>83</v>
      </c>
      <c r="D112" s="5" t="s">
        <v>84</v>
      </c>
      <c r="E112" s="5" t="s">
        <v>103</v>
      </c>
      <c r="F112" s="5" t="n">
        <v>480</v>
      </c>
      <c r="G112" s="6" t="n">
        <v>0.121646954775747</v>
      </c>
      <c r="H112" s="6" t="n">
        <v>0.0365162808551294</v>
      </c>
      <c r="I112" s="7" t="n">
        <v>0.000864391076955251</v>
      </c>
      <c r="J112" s="6" t="n">
        <f aca="false">EXP(G112)</f>
        <v>1.12935531788862</v>
      </c>
      <c r="K112" s="6" t="n">
        <f aca="false">EXP(G112-1.96*H112)</f>
        <v>1.05134999123951</v>
      </c>
      <c r="L112" s="6" t="n">
        <f aca="false">EXP(G112+1.96*H112)</f>
        <v>1.213148280469</v>
      </c>
      <c r="M112" s="5" t="s">
        <v>78</v>
      </c>
      <c r="N112" s="5" t="s">
        <v>104</v>
      </c>
    </row>
    <row r="113" customFormat="false" ht="15" hidden="false" customHeight="true" outlineLevel="0" collapsed="false">
      <c r="A113" s="5" t="s">
        <v>88</v>
      </c>
      <c r="B113" s="5" t="s">
        <v>126</v>
      </c>
      <c r="C113" s="5" t="s">
        <v>83</v>
      </c>
      <c r="D113" s="5" t="s">
        <v>84</v>
      </c>
      <c r="E113" s="5" t="s">
        <v>105</v>
      </c>
      <c r="F113" s="5" t="n">
        <v>480</v>
      </c>
      <c r="G113" s="6" t="n">
        <v>0.121650991587693</v>
      </c>
      <c r="H113" s="6" t="n">
        <v>0.0410701837895664</v>
      </c>
      <c r="I113" s="7" t="n">
        <v>0.00305621023435371</v>
      </c>
      <c r="J113" s="6" t="n">
        <f aca="false">EXP(G113)</f>
        <v>1.12935987689286</v>
      </c>
      <c r="K113" s="6" t="n">
        <f aca="false">EXP(G113-1.96*H113)</f>
        <v>1.04201197059494</v>
      </c>
      <c r="L113" s="6" t="n">
        <f aca="false">EXP(G113+1.96*H113)</f>
        <v>1.22402982645893</v>
      </c>
      <c r="M113" s="5" t="s">
        <v>78</v>
      </c>
      <c r="N113" s="5" t="s">
        <v>106</v>
      </c>
    </row>
    <row r="114" customFormat="false" ht="15" hidden="false" customHeight="true" outlineLevel="0" collapsed="false">
      <c r="A114" s="5" t="s">
        <v>88</v>
      </c>
      <c r="B114" s="5" t="s">
        <v>126</v>
      </c>
      <c r="C114" s="5" t="s">
        <v>83</v>
      </c>
      <c r="D114" s="5" t="s">
        <v>84</v>
      </c>
      <c r="E114" s="5" t="s">
        <v>107</v>
      </c>
      <c r="F114" s="5" t="n">
        <v>480</v>
      </c>
      <c r="G114" s="6" t="n">
        <v>0.122857202707752</v>
      </c>
      <c r="H114" s="6" t="n">
        <v>0.0368387299975685</v>
      </c>
      <c r="I114" s="7" t="n">
        <v>0.000852990814762802</v>
      </c>
      <c r="J114" s="6" t="n">
        <f aca="false">EXP(G114)</f>
        <v>1.13072294524375</v>
      </c>
      <c r="K114" s="6" t="n">
        <f aca="false">EXP(G114-1.96*H114)</f>
        <v>1.05195810766618</v>
      </c>
      <c r="L114" s="6" t="n">
        <f aca="false">EXP(G114+1.96*H114)</f>
        <v>1.21538526067089</v>
      </c>
      <c r="M114" s="5" t="s">
        <v>78</v>
      </c>
      <c r="N114" s="5"/>
    </row>
    <row r="115" customFormat="false" ht="15" hidden="false" customHeight="true" outlineLevel="0" collapsed="false">
      <c r="A115" s="5" t="s">
        <v>88</v>
      </c>
      <c r="B115" s="5" t="s">
        <v>126</v>
      </c>
      <c r="C115" s="5" t="s">
        <v>83</v>
      </c>
      <c r="D115" s="5" t="s">
        <v>84</v>
      </c>
      <c r="E115" s="5" t="s">
        <v>108</v>
      </c>
      <c r="F115" s="5" t="n">
        <v>480</v>
      </c>
      <c r="G115" s="6" t="n">
        <v>0.123633506639536</v>
      </c>
      <c r="H115" s="6" t="n">
        <v>0.105717759547759</v>
      </c>
      <c r="I115" s="7" t="n">
        <v>0.242798058722598</v>
      </c>
      <c r="J115" s="6" t="n">
        <f aca="false">EXP(G115)</f>
        <v>1.13160107071393</v>
      </c>
      <c r="K115" s="6" t="n">
        <f aca="false">EXP(G115-1.96*H115)</f>
        <v>0.91982365921798</v>
      </c>
      <c r="L115" s="6" t="n">
        <f aca="false">EXP(G115+1.96*H115)</f>
        <v>1.39213747157754</v>
      </c>
      <c r="M115" s="5" t="s">
        <v>78</v>
      </c>
      <c r="N115" s="5"/>
    </row>
    <row r="116" customFormat="false" ht="15" hidden="false" customHeight="true" outlineLevel="0" collapsed="false">
      <c r="A116" s="5" t="s">
        <v>88</v>
      </c>
      <c r="B116" s="5" t="s">
        <v>126</v>
      </c>
      <c r="C116" s="5" t="s">
        <v>83</v>
      </c>
      <c r="D116" s="5" t="s">
        <v>84</v>
      </c>
      <c r="E116" s="5" t="s">
        <v>109</v>
      </c>
      <c r="F116" s="5" t="n">
        <v>480</v>
      </c>
      <c r="G116" s="6" t="n">
        <v>0.180979771765262</v>
      </c>
      <c r="H116" s="6" t="n">
        <v>0.0879208411001515</v>
      </c>
      <c r="I116" s="7" t="n">
        <v>0.015</v>
      </c>
      <c r="J116" s="6" t="n">
        <f aca="false">EXP(G116)</f>
        <v>1.19839093771482</v>
      </c>
      <c r="K116" s="6" t="n">
        <f aca="false">EXP(G116-1.96*H116)</f>
        <v>1.00869248534444</v>
      </c>
      <c r="L116" s="6" t="n">
        <f aca="false">EXP(G116+1.96*H116)</f>
        <v>1.42376478506887</v>
      </c>
      <c r="M116" s="5" t="s">
        <v>78</v>
      </c>
      <c r="N116" s="5" t="s">
        <v>110</v>
      </c>
    </row>
    <row r="117" customFormat="false" ht="15" hidden="false" customHeight="true" outlineLevel="0" collapsed="false">
      <c r="A117" s="5" t="s">
        <v>88</v>
      </c>
      <c r="B117" s="5" t="s">
        <v>126</v>
      </c>
      <c r="C117" s="5" t="s">
        <v>83</v>
      </c>
      <c r="D117" s="5" t="s">
        <v>84</v>
      </c>
      <c r="E117" s="5" t="s">
        <v>111</v>
      </c>
      <c r="F117" s="5" t="n">
        <v>480</v>
      </c>
      <c r="G117" s="6" t="n">
        <v>0.121537920588553</v>
      </c>
      <c r="H117" s="6" t="n">
        <v>0.0564334992662894</v>
      </c>
      <c r="I117" s="7" t="n">
        <v>0.0312677483613045</v>
      </c>
      <c r="J117" s="6" t="n">
        <f aca="false">EXP(G117)</f>
        <v>1.12923218626238</v>
      </c>
      <c r="K117" s="6" t="n">
        <f aca="false">EXP(G117-1.96*H117)</f>
        <v>1.0109881935991</v>
      </c>
      <c r="L117" s="6" t="n">
        <f aca="false">EXP(G117+1.96*H117)</f>
        <v>1.26130585754058</v>
      </c>
      <c r="M117" s="5" t="s">
        <v>78</v>
      </c>
      <c r="N117" s="5"/>
    </row>
    <row r="118" customFormat="false" ht="15" hidden="false" customHeight="true" outlineLevel="0" collapsed="false">
      <c r="A118" s="5" t="s">
        <v>88</v>
      </c>
      <c r="B118" s="5" t="s">
        <v>126</v>
      </c>
      <c r="C118" s="5" t="s">
        <v>83</v>
      </c>
      <c r="D118" s="5" t="s">
        <v>84</v>
      </c>
      <c r="E118" s="5" t="s">
        <v>112</v>
      </c>
      <c r="F118" s="5" t="n">
        <v>480</v>
      </c>
      <c r="G118" s="6" t="n">
        <v>0.155293525961197</v>
      </c>
      <c r="H118" s="6" t="n">
        <v>0.0700059800225789</v>
      </c>
      <c r="I118" s="7" t="n">
        <v>0.0265351039844834</v>
      </c>
      <c r="J118" s="6" t="n">
        <f aca="false">EXP(G118)</f>
        <v>1.16800074933667</v>
      </c>
      <c r="K118" s="6" t="n">
        <f aca="false">EXP(G118-1.96*H118)</f>
        <v>1.01824627073805</v>
      </c>
      <c r="L118" s="6" t="n">
        <f aca="false">EXP(G118+1.96*H118)</f>
        <v>1.33977976610923</v>
      </c>
      <c r="M118" s="5" t="s">
        <v>78</v>
      </c>
      <c r="N118" s="5"/>
    </row>
    <row r="119" customFormat="false" ht="15" hidden="false" customHeight="true" outlineLevel="0" collapsed="false">
      <c r="A119" s="5" t="s">
        <v>88</v>
      </c>
      <c r="B119" s="5" t="s">
        <v>126</v>
      </c>
      <c r="C119" s="5" t="s">
        <v>83</v>
      </c>
      <c r="D119" s="5" t="s">
        <v>84</v>
      </c>
      <c r="E119" s="5" t="s">
        <v>113</v>
      </c>
      <c r="F119" s="5" t="n">
        <v>480</v>
      </c>
      <c r="G119" s="6" t="n">
        <v>0.15674361758135</v>
      </c>
      <c r="H119" s="6" t="n">
        <v>0.0728959129201457</v>
      </c>
      <c r="I119" s="7" t="n">
        <v>0.0315363335034147</v>
      </c>
      <c r="J119" s="6" t="n">
        <f aca="false">EXP(G119)</f>
        <v>1.16969568604537</v>
      </c>
      <c r="K119" s="6" t="n">
        <f aca="false">EXP(G119-1.96*H119)</f>
        <v>1.01396422984305</v>
      </c>
      <c r="L119" s="6" t="n">
        <f aca="false">EXP(G119+1.96*H119)</f>
        <v>1.34934542825532</v>
      </c>
      <c r="M119" s="5" t="s">
        <v>78</v>
      </c>
      <c r="N119" s="5"/>
    </row>
    <row r="120" customFormat="false" ht="15" hidden="false" customHeight="true" outlineLevel="0" collapsed="false">
      <c r="A120" s="5" t="s">
        <v>88</v>
      </c>
      <c r="B120" s="5" t="s">
        <v>126</v>
      </c>
      <c r="C120" s="5" t="s">
        <v>83</v>
      </c>
      <c r="D120" s="5" t="s">
        <v>84</v>
      </c>
      <c r="E120" s="5" t="s">
        <v>114</v>
      </c>
      <c r="F120" s="5" t="n">
        <v>480</v>
      </c>
      <c r="G120" s="6" t="n">
        <v>0.191676974929957</v>
      </c>
      <c r="H120" s="6" t="n">
        <v>0.201490467259661</v>
      </c>
      <c r="I120" s="7" t="n">
        <v>0.341934142977755</v>
      </c>
      <c r="J120" s="6" t="n">
        <f aca="false">EXP(G120)</f>
        <v>1.21127918022048</v>
      </c>
      <c r="K120" s="6" t="n">
        <f aca="false">EXP(G120-1.96*H120)</f>
        <v>0.816078815631215</v>
      </c>
      <c r="L120" s="6" t="n">
        <f aca="false">EXP(G120+1.96*H120)</f>
        <v>1.79786219704866</v>
      </c>
      <c r="M120" s="5" t="s">
        <v>78</v>
      </c>
      <c r="N120" s="5"/>
    </row>
    <row r="121" customFormat="false" ht="15" hidden="false" customHeight="true" outlineLevel="0" collapsed="false">
      <c r="A121" s="5" t="s">
        <v>88</v>
      </c>
      <c r="B121" s="5" t="s">
        <v>126</v>
      </c>
      <c r="C121" s="5" t="s">
        <v>83</v>
      </c>
      <c r="D121" s="5" t="s">
        <v>84</v>
      </c>
      <c r="E121" s="5" t="s">
        <v>115</v>
      </c>
      <c r="F121" s="5" t="n">
        <v>480</v>
      </c>
      <c r="G121" s="6" t="n">
        <v>0.191676974929957</v>
      </c>
      <c r="H121" s="6" t="n">
        <v>0.183402329947534</v>
      </c>
      <c r="I121" s="7" t="n">
        <v>0.296495812804291</v>
      </c>
      <c r="J121" s="6" t="n">
        <f aca="false">EXP(G121)</f>
        <v>1.21127918022048</v>
      </c>
      <c r="K121" s="6" t="n">
        <f aca="false">EXP(G121-1.96*H121)</f>
        <v>0.845530031743249</v>
      </c>
      <c r="L121" s="6" t="n">
        <f aca="false">EXP(G121+1.96*H121)</f>
        <v>1.73523966902825</v>
      </c>
      <c r="M121" s="5" t="s">
        <v>78</v>
      </c>
      <c r="N121" s="5" t="s">
        <v>116</v>
      </c>
    </row>
    <row r="122" customFormat="false" ht="15" hidden="false" customHeight="true" outlineLevel="0" collapsed="false">
      <c r="A122" s="5" t="s">
        <v>88</v>
      </c>
      <c r="B122" s="5" t="s">
        <v>126</v>
      </c>
      <c r="C122" s="5" t="s">
        <v>83</v>
      </c>
      <c r="D122" s="5" t="s">
        <v>84</v>
      </c>
      <c r="E122" s="5" t="s">
        <v>117</v>
      </c>
      <c r="F122" s="5" t="n">
        <v>480</v>
      </c>
      <c r="G122" s="6" t="n">
        <v>0.172166093451925</v>
      </c>
      <c r="H122" s="6" t="n">
        <v>0.112792706638841</v>
      </c>
      <c r="I122" s="7" t="n">
        <v>0.127571811539841</v>
      </c>
      <c r="J122" s="6" t="n">
        <f aca="false">EXP(G122)</f>
        <v>1.18787511510816</v>
      </c>
      <c r="K122" s="6" t="n">
        <f aca="false">EXP(G122-1.96*H122)</f>
        <v>0.952269104291337</v>
      </c>
      <c r="L122" s="6" t="n">
        <f aca="false">EXP(G122+1.96*H122)</f>
        <v>1.48177367378028</v>
      </c>
      <c r="M122" s="5" t="s">
        <v>78</v>
      </c>
      <c r="N122" s="5"/>
    </row>
    <row r="123" customFormat="false" ht="15" hidden="false" customHeight="true" outlineLevel="0" collapsed="false">
      <c r="A123" s="5" t="s">
        <v>88</v>
      </c>
      <c r="B123" s="5" t="s">
        <v>126</v>
      </c>
      <c r="C123" s="5" t="s">
        <v>83</v>
      </c>
      <c r="D123" s="5" t="s">
        <v>84</v>
      </c>
      <c r="E123" s="5" t="s">
        <v>118</v>
      </c>
      <c r="F123" s="5" t="n">
        <v>480</v>
      </c>
      <c r="G123" s="6" t="n">
        <v>0.172166093451925</v>
      </c>
      <c r="H123" s="6" t="n">
        <v>0.115464594637236</v>
      </c>
      <c r="I123" s="7" t="n">
        <v>0.136600662180013</v>
      </c>
      <c r="J123" s="6" t="n">
        <f aca="false">EXP(G123)</f>
        <v>1.18787511510816</v>
      </c>
      <c r="K123" s="6" t="n">
        <f aca="false">EXP(G123-1.96*H123)</f>
        <v>0.947295201050595</v>
      </c>
      <c r="L123" s="6" t="n">
        <f aca="false">EXP(G123+1.96*H123)</f>
        <v>1.48955392947025</v>
      </c>
      <c r="M123" s="5" t="s">
        <v>78</v>
      </c>
      <c r="N123" s="5" t="s">
        <v>119</v>
      </c>
    </row>
    <row r="124" customFormat="false" ht="15" hidden="false" customHeight="true" outlineLevel="0" collapsed="false">
      <c r="A124" s="5" t="s">
        <v>88</v>
      </c>
      <c r="B124" s="5" t="s">
        <v>126</v>
      </c>
      <c r="C124" s="5" t="s">
        <v>83</v>
      </c>
      <c r="D124" s="5" t="s">
        <v>84</v>
      </c>
      <c r="E124" s="5" t="s">
        <v>120</v>
      </c>
      <c r="F124" s="5" t="n">
        <v>480</v>
      </c>
      <c r="G124" s="6" t="n">
        <v>0.118017888332447</v>
      </c>
      <c r="H124" s="6" t="n">
        <v>0.0423705491618236</v>
      </c>
      <c r="I124" s="7" t="n">
        <v>0.00534657723021465</v>
      </c>
      <c r="J124" s="6" t="n">
        <f aca="false">EXP(G124)</f>
        <v>1.12526424028813</v>
      </c>
      <c r="K124" s="6" t="n">
        <f aca="false">EXP(G124-1.96*H124)</f>
        <v>1.03559031001901</v>
      </c>
      <c r="L124" s="6" t="n">
        <f aca="false">EXP(G124+1.96*H124)</f>
        <v>1.22270322367923</v>
      </c>
      <c r="M124" s="5" t="s">
        <v>78</v>
      </c>
      <c r="N124" s="5"/>
    </row>
    <row r="125" customFormat="false" ht="15" hidden="false" customHeight="true" outlineLevel="0" collapsed="false">
      <c r="A125" s="5" t="s">
        <v>88</v>
      </c>
      <c r="B125" s="5" t="s">
        <v>126</v>
      </c>
      <c r="C125" s="5" t="s">
        <v>83</v>
      </c>
      <c r="D125" s="5" t="s">
        <v>84</v>
      </c>
      <c r="E125" s="5" t="s">
        <v>121</v>
      </c>
      <c r="F125" s="5" t="n">
        <v>480</v>
      </c>
      <c r="G125" s="6" t="n">
        <v>0.143573167824672</v>
      </c>
      <c r="H125" s="6" t="n">
        <v>0.0706486448780347</v>
      </c>
      <c r="I125" s="7" t="n">
        <v>0.0426843685875816</v>
      </c>
      <c r="J125" s="6" t="n">
        <f aca="false">EXP(G125)</f>
        <v>1.15439127201534</v>
      </c>
      <c r="K125" s="6" t="n">
        <f aca="false">EXP(G125-1.96*H125)</f>
        <v>1.00511486032758</v>
      </c>
      <c r="L125" s="6" t="n">
        <f aca="false">EXP(G125+1.96*H125)</f>
        <v>1.32583773407836</v>
      </c>
      <c r="M125" s="5" t="s">
        <v>78</v>
      </c>
      <c r="N125" s="5"/>
    </row>
    <row r="126" customFormat="false" ht="15" hidden="false" customHeight="true" outlineLevel="0" collapsed="false">
      <c r="A126" s="5" t="s">
        <v>88</v>
      </c>
      <c r="B126" s="5" t="s">
        <v>126</v>
      </c>
      <c r="C126" s="5" t="s">
        <v>83</v>
      </c>
      <c r="D126" s="5" t="s">
        <v>84</v>
      </c>
      <c r="E126" s="5" t="s">
        <v>122</v>
      </c>
      <c r="F126" s="5" t="n">
        <v>480</v>
      </c>
      <c r="G126" s="6" t="n">
        <v>0.132950532444707</v>
      </c>
      <c r="H126" s="6" t="n">
        <v>2.61122988350813</v>
      </c>
      <c r="I126" s="7" t="n">
        <v>0.959393325087581</v>
      </c>
      <c r="J126" s="6" t="n">
        <f aca="false">EXP(G126)</f>
        <v>1.14219349541349</v>
      </c>
      <c r="K126" s="6" t="s">
        <v>81</v>
      </c>
      <c r="L126" s="6" t="s">
        <v>81</v>
      </c>
      <c r="M126" s="5" t="s">
        <v>78</v>
      </c>
      <c r="N126" s="5" t="s">
        <v>123</v>
      </c>
    </row>
    <row r="127" customFormat="false" ht="15" hidden="false" customHeight="true" outlineLevel="0" collapsed="false">
      <c r="A127" s="5" t="s">
        <v>88</v>
      </c>
      <c r="B127" s="5" t="s">
        <v>126</v>
      </c>
      <c r="C127" s="5" t="s">
        <v>83</v>
      </c>
      <c r="D127" s="5" t="s">
        <v>84</v>
      </c>
      <c r="E127" s="5" t="s">
        <v>124</v>
      </c>
      <c r="F127" s="5" t="n">
        <v>480</v>
      </c>
      <c r="G127" s="6" t="n">
        <v>0.1</v>
      </c>
      <c r="H127" s="6"/>
      <c r="I127" s="7" t="n">
        <v>0.0318257612015403</v>
      </c>
      <c r="J127" s="6" t="n">
        <f aca="false">EXP(G127)</f>
        <v>1.10517091807565</v>
      </c>
      <c r="K127" s="6" t="s">
        <v>81</v>
      </c>
      <c r="L127" s="6" t="s">
        <v>81</v>
      </c>
      <c r="M127" s="5" t="s">
        <v>78</v>
      </c>
      <c r="N127" s="5" t="s">
        <v>125</v>
      </c>
    </row>
    <row r="128" customFormat="false" ht="15" hidden="false" customHeight="true" outlineLevel="0" collapsed="false">
      <c r="A128" s="5" t="s">
        <v>88</v>
      </c>
      <c r="B128" s="5" t="s">
        <v>126</v>
      </c>
      <c r="C128" s="5" t="s">
        <v>86</v>
      </c>
      <c r="D128" s="5" t="s">
        <v>87</v>
      </c>
      <c r="E128" s="5" t="s">
        <v>100</v>
      </c>
      <c r="F128" s="5" t="n">
        <v>481</v>
      </c>
      <c r="G128" s="6" t="n">
        <v>0.181289525779766</v>
      </c>
      <c r="H128" s="6" t="n">
        <v>0.0244872772825024</v>
      </c>
      <c r="I128" s="7" t="n">
        <v>1.32724095960769E-013</v>
      </c>
      <c r="J128" s="6" t="n">
        <f aca="false">EXP(G128)</f>
        <v>1.198762201616</v>
      </c>
      <c r="K128" s="6" t="n">
        <f aca="false">EXP(G128-1.96*H128)</f>
        <v>1.1425863974255</v>
      </c>
      <c r="L128" s="6" t="n">
        <f aca="false">EXP(G128+1.96*H128)</f>
        <v>1.25769991596363</v>
      </c>
      <c r="M128" s="5" t="s">
        <v>78</v>
      </c>
      <c r="N128" s="5"/>
    </row>
    <row r="129" customFormat="false" ht="15" hidden="false" customHeight="true" outlineLevel="0" collapsed="false">
      <c r="A129" s="5" t="s">
        <v>88</v>
      </c>
      <c r="B129" s="5" t="s">
        <v>126</v>
      </c>
      <c r="C129" s="5" t="s">
        <v>86</v>
      </c>
      <c r="D129" s="5" t="s">
        <v>87</v>
      </c>
      <c r="E129" s="5" t="s">
        <v>101</v>
      </c>
      <c r="F129" s="5" t="n">
        <v>481</v>
      </c>
      <c r="G129" s="6" t="n">
        <v>0.181289525779766</v>
      </c>
      <c r="H129" s="6" t="n">
        <v>0.0244872772825024</v>
      </c>
      <c r="I129" s="7" t="n">
        <v>1.32724095960769E-013</v>
      </c>
      <c r="J129" s="6" t="n">
        <f aca="false">EXP(G129)</f>
        <v>1.198762201616</v>
      </c>
      <c r="K129" s="6" t="n">
        <f aca="false">EXP(G129-1.96*H129)</f>
        <v>1.1425863974255</v>
      </c>
      <c r="L129" s="6" t="n">
        <f aca="false">EXP(G129+1.96*H129)</f>
        <v>1.25769991596363</v>
      </c>
      <c r="M129" s="5" t="s">
        <v>78</v>
      </c>
      <c r="N129" s="5" t="s">
        <v>102</v>
      </c>
    </row>
    <row r="130" customFormat="false" ht="15" hidden="false" customHeight="true" outlineLevel="0" collapsed="false">
      <c r="A130" s="5" t="s">
        <v>88</v>
      </c>
      <c r="B130" s="5" t="s">
        <v>126</v>
      </c>
      <c r="C130" s="5" t="s">
        <v>86</v>
      </c>
      <c r="D130" s="5" t="s">
        <v>87</v>
      </c>
      <c r="E130" s="5" t="s">
        <v>103</v>
      </c>
      <c r="F130" s="5" t="n">
        <v>481</v>
      </c>
      <c r="G130" s="6" t="n">
        <v>0.181289525779766</v>
      </c>
      <c r="H130" s="6" t="n">
        <v>0.0199964871710438</v>
      </c>
      <c r="I130" s="7" t="n">
        <v>1.23388699153462E-019</v>
      </c>
      <c r="J130" s="6" t="n">
        <f aca="false">EXP(G130)</f>
        <v>1.198762201616</v>
      </c>
      <c r="K130" s="6" t="n">
        <f aca="false">EXP(G130-1.96*H130)</f>
        <v>1.15268777487408</v>
      </c>
      <c r="L130" s="6" t="n">
        <f aca="false">EXP(G130+1.96*H130)</f>
        <v>1.24667828300705</v>
      </c>
      <c r="M130" s="5" t="s">
        <v>78</v>
      </c>
      <c r="N130" s="5" t="s">
        <v>104</v>
      </c>
    </row>
    <row r="131" customFormat="false" ht="15" hidden="false" customHeight="true" outlineLevel="0" collapsed="false">
      <c r="A131" s="5" t="s">
        <v>88</v>
      </c>
      <c r="B131" s="5" t="s">
        <v>126</v>
      </c>
      <c r="C131" s="5" t="s">
        <v>86</v>
      </c>
      <c r="D131" s="5" t="s">
        <v>87</v>
      </c>
      <c r="E131" s="5" t="s">
        <v>105</v>
      </c>
      <c r="F131" s="5" t="n">
        <v>481</v>
      </c>
      <c r="G131" s="6" t="n">
        <v>0.181282845521081</v>
      </c>
      <c r="H131" s="6" t="n">
        <v>0.0244898686012397</v>
      </c>
      <c r="I131" s="7" t="n">
        <v>1.33784315519374E-013</v>
      </c>
      <c r="J131" s="6" t="n">
        <f aca="false">EXP(G131)</f>
        <v>1.19875419360114</v>
      </c>
      <c r="K131" s="6" t="n">
        <f aca="false">EXP(G131-1.96*H131)</f>
        <v>1.14257296155293</v>
      </c>
      <c r="L131" s="6" t="n">
        <f aca="false">EXP(G131+1.96*H131)</f>
        <v>1.25769790204312</v>
      </c>
      <c r="M131" s="5" t="s">
        <v>78</v>
      </c>
      <c r="N131" s="5" t="s">
        <v>106</v>
      </c>
    </row>
    <row r="132" customFormat="false" ht="15" hidden="false" customHeight="true" outlineLevel="0" collapsed="false">
      <c r="A132" s="5" t="s">
        <v>88</v>
      </c>
      <c r="B132" s="5" t="s">
        <v>126</v>
      </c>
      <c r="C132" s="5" t="s">
        <v>86</v>
      </c>
      <c r="D132" s="5" t="s">
        <v>87</v>
      </c>
      <c r="E132" s="5" t="s">
        <v>107</v>
      </c>
      <c r="F132" s="5" t="n">
        <v>481</v>
      </c>
      <c r="G132" s="6" t="n">
        <v>0.181766662591711</v>
      </c>
      <c r="H132" s="6" t="n">
        <v>0.020213696962643</v>
      </c>
      <c r="I132" s="7" t="n">
        <v>2.42214971171582E-019</v>
      </c>
      <c r="J132" s="6" t="n">
        <f aca="false">EXP(G132)</f>
        <v>1.19933431166769</v>
      </c>
      <c r="K132" s="6" t="n">
        <f aca="false">EXP(G132-1.96*H132)</f>
        <v>1.15274703102733</v>
      </c>
      <c r="L132" s="6" t="n">
        <f aca="false">EXP(G132+1.96*H132)</f>
        <v>1.24780437722013</v>
      </c>
      <c r="M132" s="5" t="s">
        <v>78</v>
      </c>
      <c r="N132" s="5"/>
    </row>
    <row r="133" customFormat="false" ht="15" hidden="false" customHeight="true" outlineLevel="0" collapsed="false">
      <c r="A133" s="5" t="s">
        <v>88</v>
      </c>
      <c r="B133" s="5" t="s">
        <v>126</v>
      </c>
      <c r="C133" s="5" t="s">
        <v>86</v>
      </c>
      <c r="D133" s="5" t="s">
        <v>87</v>
      </c>
      <c r="E133" s="5" t="s">
        <v>108</v>
      </c>
      <c r="F133" s="5" t="n">
        <v>481</v>
      </c>
      <c r="G133" s="6" t="n">
        <v>0.221291291648163</v>
      </c>
      <c r="H133" s="6" t="n">
        <v>0.0622842259361956</v>
      </c>
      <c r="I133" s="7" t="n">
        <v>0.00041869744284903</v>
      </c>
      <c r="J133" s="6" t="n">
        <f aca="false">EXP(G133)</f>
        <v>1.2476868183853</v>
      </c>
      <c r="K133" s="6" t="n">
        <f aca="false">EXP(G133-1.96*H133)</f>
        <v>1.10430282562271</v>
      </c>
      <c r="L133" s="6" t="n">
        <f aca="false">EXP(G133+1.96*H133)</f>
        <v>1.40968795936441</v>
      </c>
      <c r="M133" s="5" t="s">
        <v>78</v>
      </c>
      <c r="N133" s="5"/>
    </row>
    <row r="134" customFormat="false" ht="15" hidden="false" customHeight="true" outlineLevel="0" collapsed="false">
      <c r="A134" s="5" t="s">
        <v>88</v>
      </c>
      <c r="B134" s="5" t="s">
        <v>126</v>
      </c>
      <c r="C134" s="5" t="s">
        <v>86</v>
      </c>
      <c r="D134" s="5" t="s">
        <v>87</v>
      </c>
      <c r="E134" s="5" t="s">
        <v>109</v>
      </c>
      <c r="F134" s="5" t="n">
        <v>481</v>
      </c>
      <c r="G134" s="6" t="n">
        <v>0.207201260312777</v>
      </c>
      <c r="H134" s="6" t="n">
        <v>0.0482094428254783</v>
      </c>
      <c r="I134" s="7" t="n">
        <v>0</v>
      </c>
      <c r="J134" s="6" t="n">
        <f aca="false">EXP(G134)</f>
        <v>1.23023014337019</v>
      </c>
      <c r="K134" s="6" t="n">
        <f aca="false">EXP(G134-1.96*H134)</f>
        <v>1.11930812890296</v>
      </c>
      <c r="L134" s="6" t="n">
        <f aca="false">EXP(G134+1.96*H134)</f>
        <v>1.35214438864122</v>
      </c>
      <c r="M134" s="5" t="s">
        <v>78</v>
      </c>
      <c r="N134" s="5" t="s">
        <v>110</v>
      </c>
    </row>
    <row r="135" customFormat="false" ht="15" hidden="false" customHeight="true" outlineLevel="0" collapsed="false">
      <c r="A135" s="5" t="s">
        <v>88</v>
      </c>
      <c r="B135" s="5" t="s">
        <v>126</v>
      </c>
      <c r="C135" s="5" t="s">
        <v>86</v>
      </c>
      <c r="D135" s="5" t="s">
        <v>87</v>
      </c>
      <c r="E135" s="5" t="s">
        <v>111</v>
      </c>
      <c r="F135" s="5" t="n">
        <v>481</v>
      </c>
      <c r="G135" s="6" t="n">
        <v>0.169696969696956</v>
      </c>
      <c r="H135" s="6" t="n">
        <v>0.0315579952488528</v>
      </c>
      <c r="I135" s="7" t="n">
        <v>7.56089766289226E-008</v>
      </c>
      <c r="J135" s="6" t="n">
        <f aca="false">EXP(G135)</f>
        <v>1.18494572244828</v>
      </c>
      <c r="K135" s="6" t="n">
        <f aca="false">EXP(G135-1.96*H135)</f>
        <v>1.11387318667809</v>
      </c>
      <c r="L135" s="6" t="n">
        <f aca="false">EXP(G135+1.96*H135)</f>
        <v>1.26055315985829</v>
      </c>
      <c r="M135" s="5" t="s">
        <v>78</v>
      </c>
      <c r="N135" s="5"/>
    </row>
    <row r="136" customFormat="false" ht="15" hidden="false" customHeight="true" outlineLevel="0" collapsed="false">
      <c r="A136" s="5" t="s">
        <v>88</v>
      </c>
      <c r="B136" s="5" t="s">
        <v>126</v>
      </c>
      <c r="C136" s="5" t="s">
        <v>86</v>
      </c>
      <c r="D136" s="5" t="s">
        <v>87</v>
      </c>
      <c r="E136" s="5" t="s">
        <v>112</v>
      </c>
      <c r="F136" s="5" t="n">
        <v>481</v>
      </c>
      <c r="G136" s="6" t="n">
        <v>0.22529901034413</v>
      </c>
      <c r="H136" s="6" t="n">
        <v>0.0378466957664543</v>
      </c>
      <c r="I136" s="7" t="n">
        <v>2.63372072240804E-009</v>
      </c>
      <c r="J136" s="6" t="n">
        <f aca="false">EXP(G136)</f>
        <v>1.2526972296271</v>
      </c>
      <c r="K136" s="6" t="n">
        <f aca="false">EXP(G136-1.96*H136)</f>
        <v>1.16313562894943</v>
      </c>
      <c r="L136" s="6" t="n">
        <f aca="false">EXP(G136+1.96*H136)</f>
        <v>1.34915508566511</v>
      </c>
      <c r="M136" s="5" t="s">
        <v>78</v>
      </c>
      <c r="N136" s="5"/>
    </row>
    <row r="137" customFormat="false" ht="15" hidden="false" customHeight="true" outlineLevel="0" collapsed="false">
      <c r="A137" s="5" t="s">
        <v>88</v>
      </c>
      <c r="B137" s="5" t="s">
        <v>126</v>
      </c>
      <c r="C137" s="5" t="s">
        <v>86</v>
      </c>
      <c r="D137" s="5" t="s">
        <v>87</v>
      </c>
      <c r="E137" s="5" t="s">
        <v>113</v>
      </c>
      <c r="F137" s="5" t="n">
        <v>481</v>
      </c>
      <c r="G137" s="6" t="n">
        <v>0.238544592256357</v>
      </c>
      <c r="H137" s="6" t="n">
        <v>0.0398249167027274</v>
      </c>
      <c r="I137" s="7" t="n">
        <v>2.10056878333671E-009</v>
      </c>
      <c r="J137" s="6" t="n">
        <f aca="false">EXP(G137)</f>
        <v>1.2694003101984</v>
      </c>
      <c r="K137" s="6" t="n">
        <f aca="false">EXP(G137-1.96*H137)</f>
        <v>1.17408339701077</v>
      </c>
      <c r="L137" s="6" t="n">
        <f aca="false">EXP(G137+1.96*H137)</f>
        <v>1.37245544195103</v>
      </c>
      <c r="M137" s="5" t="s">
        <v>78</v>
      </c>
      <c r="N137" s="5"/>
    </row>
    <row r="138" customFormat="false" ht="15" hidden="false" customHeight="true" outlineLevel="0" collapsed="false">
      <c r="A138" s="5" t="s">
        <v>88</v>
      </c>
      <c r="B138" s="5" t="s">
        <v>126</v>
      </c>
      <c r="C138" s="5" t="s">
        <v>86</v>
      </c>
      <c r="D138" s="5" t="s">
        <v>87</v>
      </c>
      <c r="E138" s="5" t="s">
        <v>114</v>
      </c>
      <c r="F138" s="5" t="n">
        <v>481</v>
      </c>
      <c r="G138" s="6" t="n">
        <v>0.219494168801067</v>
      </c>
      <c r="H138" s="6" t="n">
        <v>0.114509004567091</v>
      </c>
      <c r="I138" s="7" t="n">
        <v>0.0558530706534844</v>
      </c>
      <c r="J138" s="6" t="n">
        <f aca="false">EXP(G138)</f>
        <v>1.24544658548775</v>
      </c>
      <c r="K138" s="6" t="n">
        <f aca="false">EXP(G138-1.96*H138)</f>
        <v>0.995068718737636</v>
      </c>
      <c r="L138" s="6" t="n">
        <f aca="false">EXP(G138+1.96*H138)</f>
        <v>1.55882419786132</v>
      </c>
      <c r="M138" s="5" t="s">
        <v>78</v>
      </c>
      <c r="N138" s="5"/>
    </row>
    <row r="139" customFormat="false" ht="15" hidden="false" customHeight="true" outlineLevel="0" collapsed="false">
      <c r="A139" s="5" t="s">
        <v>88</v>
      </c>
      <c r="B139" s="5" t="s">
        <v>126</v>
      </c>
      <c r="C139" s="5" t="s">
        <v>86</v>
      </c>
      <c r="D139" s="5" t="s">
        <v>87</v>
      </c>
      <c r="E139" s="5" t="s">
        <v>115</v>
      </c>
      <c r="F139" s="5" t="n">
        <v>481</v>
      </c>
      <c r="G139" s="6" t="n">
        <v>0.219494168801067</v>
      </c>
      <c r="H139" s="6" t="n">
        <v>0.109237082001675</v>
      </c>
      <c r="I139" s="7" t="n">
        <v>0.0450606304799001</v>
      </c>
      <c r="J139" s="6" t="n">
        <f aca="false">EXP(G139)</f>
        <v>1.24544658548775</v>
      </c>
      <c r="K139" s="6" t="n">
        <f aca="false">EXP(G139-1.96*H139)</f>
        <v>1.00540403749488</v>
      </c>
      <c r="L139" s="6" t="n">
        <f aca="false">EXP(G139+1.96*H139)</f>
        <v>1.54279984907161</v>
      </c>
      <c r="M139" s="5" t="s">
        <v>78</v>
      </c>
      <c r="N139" s="5" t="s">
        <v>116</v>
      </c>
    </row>
    <row r="140" customFormat="false" ht="15" hidden="false" customHeight="true" outlineLevel="0" collapsed="false">
      <c r="A140" s="5" t="s">
        <v>88</v>
      </c>
      <c r="B140" s="5" t="s">
        <v>126</v>
      </c>
      <c r="C140" s="5" t="s">
        <v>86</v>
      </c>
      <c r="D140" s="5" t="s">
        <v>87</v>
      </c>
      <c r="E140" s="5" t="s">
        <v>117</v>
      </c>
      <c r="F140" s="5" t="n">
        <v>481</v>
      </c>
      <c r="G140" s="6" t="n">
        <v>0.241726834498479</v>
      </c>
      <c r="H140" s="6" t="n">
        <v>0.0604143248431416</v>
      </c>
      <c r="I140" s="7" t="n">
        <v>7.29915555506877E-005</v>
      </c>
      <c r="J140" s="6" t="n">
        <f aca="false">EXP(G140)</f>
        <v>1.27344628370723</v>
      </c>
      <c r="K140" s="6" t="n">
        <f aca="false">EXP(G140-1.96*H140)</f>
        <v>1.13124043167222</v>
      </c>
      <c r="L140" s="6" t="n">
        <f aca="false">EXP(G140+1.96*H140)</f>
        <v>1.4335285338861</v>
      </c>
      <c r="M140" s="5" t="s">
        <v>78</v>
      </c>
      <c r="N140" s="5"/>
    </row>
    <row r="141" customFormat="false" ht="15" hidden="false" customHeight="true" outlineLevel="0" collapsed="false">
      <c r="A141" s="5" t="s">
        <v>88</v>
      </c>
      <c r="B141" s="5" t="s">
        <v>126</v>
      </c>
      <c r="C141" s="5" t="s">
        <v>86</v>
      </c>
      <c r="D141" s="5" t="s">
        <v>87</v>
      </c>
      <c r="E141" s="5" t="s">
        <v>118</v>
      </c>
      <c r="F141" s="5" t="n">
        <v>481</v>
      </c>
      <c r="G141" s="6" t="n">
        <v>0.241726834498479</v>
      </c>
      <c r="H141" s="6" t="n">
        <v>0.0586085658760335</v>
      </c>
      <c r="I141" s="7" t="n">
        <v>4.38025630424697E-005</v>
      </c>
      <c r="J141" s="6" t="n">
        <f aca="false">EXP(G141)</f>
        <v>1.27344628370723</v>
      </c>
      <c r="K141" s="6" t="n">
        <f aca="false">EXP(G141-1.96*H141)</f>
        <v>1.13525131051693</v>
      </c>
      <c r="L141" s="6" t="n">
        <f aca="false">EXP(G141+1.96*H141)</f>
        <v>1.42846383216182</v>
      </c>
      <c r="M141" s="5" t="s">
        <v>78</v>
      </c>
      <c r="N141" s="5" t="s">
        <v>119</v>
      </c>
    </row>
    <row r="142" customFormat="false" ht="15" hidden="false" customHeight="true" outlineLevel="0" collapsed="false">
      <c r="A142" s="5" t="s">
        <v>88</v>
      </c>
      <c r="B142" s="5" t="s">
        <v>126</v>
      </c>
      <c r="C142" s="5" t="s">
        <v>86</v>
      </c>
      <c r="D142" s="5" t="s">
        <v>87</v>
      </c>
      <c r="E142" s="5" t="s">
        <v>120</v>
      </c>
      <c r="F142" s="5" t="n">
        <v>481</v>
      </c>
      <c r="G142" s="6" t="n">
        <v>0.184627652862245</v>
      </c>
      <c r="H142" s="6" t="n">
        <v>0.0248962073812427</v>
      </c>
      <c r="I142" s="7" t="n">
        <v>1.20806438509718E-013</v>
      </c>
      <c r="J142" s="6" t="n">
        <f aca="false">EXP(G142)</f>
        <v>1.20277050858361</v>
      </c>
      <c r="K142" s="6" t="n">
        <f aca="false">EXP(G142-1.96*H142)</f>
        <v>1.14548838867931</v>
      </c>
      <c r="L142" s="6" t="n">
        <f aca="false">EXP(G142+1.96*H142)</f>
        <v>1.26291711955841</v>
      </c>
      <c r="M142" s="5" t="s">
        <v>78</v>
      </c>
      <c r="N142" s="5"/>
    </row>
    <row r="143" customFormat="false" ht="15" hidden="false" customHeight="true" outlineLevel="0" collapsed="false">
      <c r="A143" s="5" t="s">
        <v>88</v>
      </c>
      <c r="B143" s="5" t="s">
        <v>126</v>
      </c>
      <c r="C143" s="5" t="s">
        <v>86</v>
      </c>
      <c r="D143" s="5" t="s">
        <v>87</v>
      </c>
      <c r="E143" s="5" t="s">
        <v>121</v>
      </c>
      <c r="F143" s="5" t="n">
        <v>481</v>
      </c>
      <c r="G143" s="6" t="n">
        <v>0.214396462305997</v>
      </c>
      <c r="H143" s="6" t="n">
        <v>0.0415732122016588</v>
      </c>
      <c r="I143" s="7" t="n">
        <v>3.67760088600036E-007</v>
      </c>
      <c r="J143" s="6" t="n">
        <f aca="false">EXP(G143)</f>
        <v>1.23911381934511</v>
      </c>
      <c r="K143" s="6" t="n">
        <f aca="false">EXP(G143-1.96*H143)</f>
        <v>1.14215058851693</v>
      </c>
      <c r="L143" s="6" t="n">
        <f aca="false">EXP(G143+1.96*H143)</f>
        <v>1.34430877392949</v>
      </c>
      <c r="M143" s="5" t="s">
        <v>78</v>
      </c>
      <c r="N143" s="5"/>
    </row>
    <row r="144" customFormat="false" ht="15" hidden="false" customHeight="true" outlineLevel="0" collapsed="false">
      <c r="A144" s="5" t="s">
        <v>88</v>
      </c>
      <c r="B144" s="5" t="s">
        <v>126</v>
      </c>
      <c r="C144" s="5" t="s">
        <v>86</v>
      </c>
      <c r="D144" s="5" t="s">
        <v>87</v>
      </c>
      <c r="E144" s="5" t="s">
        <v>122</v>
      </c>
      <c r="F144" s="5" t="n">
        <v>481</v>
      </c>
      <c r="G144" s="6" t="n">
        <v>0.161677188103464</v>
      </c>
      <c r="H144" s="6" t="n">
        <v>2.60925828667774</v>
      </c>
      <c r="I144" s="7" t="n">
        <v>0.950592383486568</v>
      </c>
      <c r="J144" s="6" t="n">
        <f aca="false">EXP(G144)</f>
        <v>1.17548072090659</v>
      </c>
      <c r="K144" s="6" t="s">
        <v>81</v>
      </c>
      <c r="L144" s="6" t="s">
        <v>81</v>
      </c>
      <c r="M144" s="5" t="s">
        <v>78</v>
      </c>
      <c r="N144" s="5" t="s">
        <v>123</v>
      </c>
    </row>
    <row r="145" customFormat="false" ht="15" hidden="false" customHeight="true" outlineLevel="0" collapsed="false">
      <c r="A145" s="5" t="s">
        <v>88</v>
      </c>
      <c r="B145" s="5" t="s">
        <v>126</v>
      </c>
      <c r="C145" s="5" t="s">
        <v>86</v>
      </c>
      <c r="D145" s="5" t="s">
        <v>87</v>
      </c>
      <c r="E145" s="5" t="s">
        <v>124</v>
      </c>
      <c r="F145" s="5" t="n">
        <v>481</v>
      </c>
      <c r="G145" s="6" t="n">
        <v>0.243243243243243</v>
      </c>
      <c r="H145" s="6"/>
      <c r="I145" s="7" t="n">
        <v>1.07010303118329E-007</v>
      </c>
      <c r="J145" s="6" t="n">
        <f aca="false">EXP(G145)</f>
        <v>1.27537881367017</v>
      </c>
      <c r="K145" s="6" t="s">
        <v>81</v>
      </c>
      <c r="L145" s="6" t="s">
        <v>81</v>
      </c>
      <c r="M145" s="5" t="s">
        <v>78</v>
      </c>
      <c r="N145" s="5" t="s">
        <v>125</v>
      </c>
    </row>
    <row r="146" customFormat="false" ht="15" hidden="false" customHeight="true" outlineLevel="0" collapsed="false">
      <c r="A146" s="5" t="s">
        <v>127</v>
      </c>
      <c r="B146" s="5" t="s">
        <v>128</v>
      </c>
      <c r="C146" s="5" t="s">
        <v>75</v>
      </c>
      <c r="D146" s="5" t="s">
        <v>76</v>
      </c>
      <c r="E146" s="5" t="s">
        <v>100</v>
      </c>
      <c r="F146" s="5" t="n">
        <v>391</v>
      </c>
      <c r="G146" s="6" t="n">
        <v>-0.00358881807155787</v>
      </c>
      <c r="H146" s="6" t="n">
        <v>0.0023244686867397</v>
      </c>
      <c r="I146" s="7" t="n">
        <v>0.122605173479018</v>
      </c>
      <c r="J146" s="6" t="n">
        <f aca="false">EXP(G146)</f>
        <v>0.996417614039158</v>
      </c>
      <c r="K146" s="6" t="n">
        <f aca="false">EXP(G146-1.96*H146)</f>
        <v>0.991888302128686</v>
      </c>
      <c r="L146" s="6" t="n">
        <f aca="false">EXP(G146+1.96*H146)</f>
        <v>1.00096760838569</v>
      </c>
      <c r="M146" s="5" t="s">
        <v>78</v>
      </c>
      <c r="N146" s="5"/>
    </row>
    <row r="147" customFormat="false" ht="15" hidden="false" customHeight="true" outlineLevel="0" collapsed="false">
      <c r="A147" s="5" t="s">
        <v>127</v>
      </c>
      <c r="B147" s="5" t="s">
        <v>128</v>
      </c>
      <c r="C147" s="5" t="s">
        <v>75</v>
      </c>
      <c r="D147" s="5" t="s">
        <v>76</v>
      </c>
      <c r="E147" s="5" t="s">
        <v>101</v>
      </c>
      <c r="F147" s="5" t="n">
        <v>391</v>
      </c>
      <c r="G147" s="6" t="n">
        <v>-0.00358881807155787</v>
      </c>
      <c r="H147" s="6" t="n">
        <v>0.0023244686867397</v>
      </c>
      <c r="I147" s="7" t="n">
        <v>0.122605173479018</v>
      </c>
      <c r="J147" s="6" t="n">
        <f aca="false">EXP(G147)</f>
        <v>0.996417614039158</v>
      </c>
      <c r="K147" s="6" t="n">
        <f aca="false">EXP(G147-1.96*H147)</f>
        <v>0.991888302128686</v>
      </c>
      <c r="L147" s="6" t="n">
        <f aca="false">EXP(G147+1.96*H147)</f>
        <v>1.00096760838569</v>
      </c>
      <c r="M147" s="5" t="s">
        <v>78</v>
      </c>
      <c r="N147" s="5" t="s">
        <v>102</v>
      </c>
    </row>
    <row r="148" customFormat="false" ht="15" hidden="false" customHeight="true" outlineLevel="0" collapsed="false">
      <c r="A148" s="5" t="s">
        <v>127</v>
      </c>
      <c r="B148" s="5" t="s">
        <v>128</v>
      </c>
      <c r="C148" s="5" t="s">
        <v>75</v>
      </c>
      <c r="D148" s="5" t="s">
        <v>76</v>
      </c>
      <c r="E148" s="5" t="s">
        <v>103</v>
      </c>
      <c r="F148" s="5" t="n">
        <v>391</v>
      </c>
      <c r="G148" s="6" t="n">
        <v>-0.00358881807155787</v>
      </c>
      <c r="H148" s="6" t="n">
        <v>0.00206003961504048</v>
      </c>
      <c r="I148" s="7" t="n">
        <v>0.0814889893802969</v>
      </c>
      <c r="J148" s="6" t="n">
        <f aca="false">EXP(G148)</f>
        <v>0.996417614039158</v>
      </c>
      <c r="K148" s="6" t="n">
        <f aca="false">EXP(G148-1.96*H148)</f>
        <v>0.992402512211633</v>
      </c>
      <c r="L148" s="6" t="n">
        <f aca="false">EXP(G148+1.96*H148)</f>
        <v>1.00044896032645</v>
      </c>
      <c r="M148" s="5" t="s">
        <v>78</v>
      </c>
      <c r="N148" s="5" t="s">
        <v>104</v>
      </c>
    </row>
    <row r="149" customFormat="false" ht="15" hidden="false" customHeight="true" outlineLevel="0" collapsed="false">
      <c r="A149" s="5" t="s">
        <v>127</v>
      </c>
      <c r="B149" s="5" t="s">
        <v>128</v>
      </c>
      <c r="C149" s="5" t="s">
        <v>75</v>
      </c>
      <c r="D149" s="5" t="s">
        <v>76</v>
      </c>
      <c r="E149" s="5" t="s">
        <v>105</v>
      </c>
      <c r="F149" s="5" t="n">
        <v>391</v>
      </c>
      <c r="G149" s="6" t="n">
        <v>-0.0035887497162947</v>
      </c>
      <c r="H149" s="6" t="n">
        <v>0.0023245186375972</v>
      </c>
      <c r="I149" s="7" t="n">
        <v>0.12262033701875</v>
      </c>
      <c r="J149" s="6" t="n">
        <f aca="false">EXP(G149)</f>
        <v>0.996417682149549</v>
      </c>
      <c r="K149" s="6" t="n">
        <f aca="false">EXP(G149-1.96*H149)</f>
        <v>0.991888272819957</v>
      </c>
      <c r="L149" s="6" t="n">
        <f aca="false">EXP(G149+1.96*H149)</f>
        <v>1.00096777480552</v>
      </c>
      <c r="M149" s="5" t="s">
        <v>78</v>
      </c>
      <c r="N149" s="5" t="s">
        <v>106</v>
      </c>
    </row>
    <row r="150" customFormat="false" ht="15" hidden="false" customHeight="true" outlineLevel="0" collapsed="false">
      <c r="A150" s="5" t="s">
        <v>127</v>
      </c>
      <c r="B150" s="5" t="s">
        <v>128</v>
      </c>
      <c r="C150" s="5" t="s">
        <v>75</v>
      </c>
      <c r="D150" s="5" t="s">
        <v>76</v>
      </c>
      <c r="E150" s="5" t="s">
        <v>107</v>
      </c>
      <c r="F150" s="5" t="n">
        <v>391</v>
      </c>
      <c r="G150" s="6" t="n">
        <v>-0.00361251823032975</v>
      </c>
      <c r="H150" s="6" t="n">
        <v>0.00207713478481064</v>
      </c>
      <c r="I150" s="7" t="n">
        <v>0.0820025174578001</v>
      </c>
      <c r="J150" s="6" t="n">
        <f aca="false">EXP(G150)</f>
        <v>0.996393999063343</v>
      </c>
      <c r="K150" s="6" t="n">
        <f aca="false">EXP(G150-1.96*H150)</f>
        <v>0.992345741771092</v>
      </c>
      <c r="L150" s="6" t="n">
        <f aca="false">EXP(G150+1.96*H150)</f>
        <v>1.00045877115121</v>
      </c>
      <c r="M150" s="5" t="s">
        <v>78</v>
      </c>
      <c r="N150" s="5"/>
    </row>
    <row r="151" customFormat="false" ht="15" hidden="false" customHeight="true" outlineLevel="0" collapsed="false">
      <c r="A151" s="5" t="s">
        <v>127</v>
      </c>
      <c r="B151" s="5" t="s">
        <v>128</v>
      </c>
      <c r="C151" s="5" t="s">
        <v>75</v>
      </c>
      <c r="D151" s="5" t="s">
        <v>76</v>
      </c>
      <c r="E151" s="5" t="s">
        <v>108</v>
      </c>
      <c r="F151" s="5" t="n">
        <v>391</v>
      </c>
      <c r="G151" s="6" t="n">
        <v>-0.00561801065269244</v>
      </c>
      <c r="H151" s="6" t="n">
        <v>0.00563842093166553</v>
      </c>
      <c r="I151" s="7" t="n">
        <v>0.319684856921926</v>
      </c>
      <c r="J151" s="6" t="n">
        <f aca="false">EXP(G151)</f>
        <v>0.994397740857965</v>
      </c>
      <c r="K151" s="6" t="n">
        <f aca="false">EXP(G151-1.96*H151)</f>
        <v>0.983468848597297</v>
      </c>
      <c r="L151" s="6" t="n">
        <f aca="false">EXP(G151+1.96*H151)</f>
        <v>1.00544808148603</v>
      </c>
      <c r="M151" s="5" t="s">
        <v>78</v>
      </c>
      <c r="N151" s="5"/>
    </row>
    <row r="152" customFormat="false" ht="15" hidden="false" customHeight="true" outlineLevel="0" collapsed="false">
      <c r="A152" s="5" t="s">
        <v>127</v>
      </c>
      <c r="B152" s="5" t="s">
        <v>128</v>
      </c>
      <c r="C152" s="5" t="s">
        <v>75</v>
      </c>
      <c r="D152" s="5" t="s">
        <v>76</v>
      </c>
      <c r="E152" s="5" t="s">
        <v>109</v>
      </c>
      <c r="F152" s="5" t="n">
        <v>391</v>
      </c>
      <c r="G152" s="6" t="n">
        <v>-0.000380764438481386</v>
      </c>
      <c r="H152" s="6" t="n">
        <v>0.00339900195945416</v>
      </c>
      <c r="I152" s="7" t="n">
        <v>0.438</v>
      </c>
      <c r="J152" s="6" t="n">
        <f aca="false">EXP(G152)</f>
        <v>0.999619308043098</v>
      </c>
      <c r="K152" s="6" t="n">
        <f aca="false">EXP(G152-1.96*H152)</f>
        <v>0.992981934175687</v>
      </c>
      <c r="L152" s="6" t="n">
        <f aca="false">EXP(G152+1.96*H152)</f>
        <v>1.00630104800655</v>
      </c>
      <c r="M152" s="5" t="s">
        <v>78</v>
      </c>
      <c r="N152" s="5" t="s">
        <v>110</v>
      </c>
    </row>
    <row r="153" customFormat="false" ht="15" hidden="false" customHeight="true" outlineLevel="0" collapsed="false">
      <c r="A153" s="5" t="s">
        <v>127</v>
      </c>
      <c r="B153" s="5" t="s">
        <v>128</v>
      </c>
      <c r="C153" s="5" t="s">
        <v>75</v>
      </c>
      <c r="D153" s="5" t="s">
        <v>76</v>
      </c>
      <c r="E153" s="5" t="s">
        <v>111</v>
      </c>
      <c r="F153" s="5" t="n">
        <v>391</v>
      </c>
      <c r="G153" s="6" t="n">
        <v>-0.00460605656350022</v>
      </c>
      <c r="H153" s="6" t="n">
        <v>0.00325948512974692</v>
      </c>
      <c r="I153" s="7" t="n">
        <v>0.157619276769596</v>
      </c>
      <c r="J153" s="6" t="n">
        <f aca="false">EXP(G153)</f>
        <v>0.995404535046941</v>
      </c>
      <c r="K153" s="6" t="n">
        <f aca="false">EXP(G153-1.96*H153)</f>
        <v>0.989065572815976</v>
      </c>
      <c r="L153" s="6" t="n">
        <f aca="false">EXP(G153+1.96*H153)</f>
        <v>1.00178412394945</v>
      </c>
      <c r="M153" s="5" t="s">
        <v>78</v>
      </c>
      <c r="N153" s="5"/>
    </row>
    <row r="154" customFormat="false" ht="15" hidden="false" customHeight="true" outlineLevel="0" collapsed="false">
      <c r="A154" s="5" t="s">
        <v>127</v>
      </c>
      <c r="B154" s="5" t="s">
        <v>128</v>
      </c>
      <c r="C154" s="5" t="s">
        <v>75</v>
      </c>
      <c r="D154" s="5" t="s">
        <v>76</v>
      </c>
      <c r="E154" s="5" t="s">
        <v>112</v>
      </c>
      <c r="F154" s="5" t="n">
        <v>391</v>
      </c>
      <c r="G154" s="6" t="n">
        <v>-0.00179482737698538</v>
      </c>
      <c r="H154" s="6" t="n">
        <v>0.00343502157147062</v>
      </c>
      <c r="I154" s="7" t="n">
        <v>0.601316449729924</v>
      </c>
      <c r="J154" s="6" t="n">
        <f aca="false">EXP(G154)</f>
        <v>0.998206782362459</v>
      </c>
      <c r="K154" s="6" t="n">
        <f aca="false">EXP(G154-1.96*H154)</f>
        <v>0.991508786082543</v>
      </c>
      <c r="L154" s="6" t="n">
        <f aca="false">EXP(G154+1.96*H154)</f>
        <v>1.00495002600155</v>
      </c>
      <c r="M154" s="5" t="s">
        <v>78</v>
      </c>
      <c r="N154" s="5"/>
    </row>
    <row r="155" customFormat="false" ht="15" hidden="false" customHeight="true" outlineLevel="0" collapsed="false">
      <c r="A155" s="5" t="s">
        <v>127</v>
      </c>
      <c r="B155" s="5" t="s">
        <v>128</v>
      </c>
      <c r="C155" s="5" t="s">
        <v>75</v>
      </c>
      <c r="D155" s="5" t="s">
        <v>76</v>
      </c>
      <c r="E155" s="5" t="s">
        <v>113</v>
      </c>
      <c r="F155" s="5" t="n">
        <v>391</v>
      </c>
      <c r="G155" s="6" t="n">
        <v>-0.00176473017374289</v>
      </c>
      <c r="H155" s="6" t="n">
        <v>0.00359237371053693</v>
      </c>
      <c r="I155" s="7" t="n">
        <v>0.623254247753152</v>
      </c>
      <c r="J155" s="6" t="n">
        <f aca="false">EXP(G155)</f>
        <v>0.998236826046979</v>
      </c>
      <c r="K155" s="6" t="n">
        <f aca="false">EXP(G155-1.96*H155)</f>
        <v>0.991232874704985</v>
      </c>
      <c r="L155" s="6" t="n">
        <f aca="false">EXP(G155+1.96*H155)</f>
        <v>1.0052902666015</v>
      </c>
      <c r="M155" s="5" t="s">
        <v>78</v>
      </c>
      <c r="N155" s="5"/>
    </row>
    <row r="156" customFormat="false" ht="15" hidden="false" customHeight="true" outlineLevel="0" collapsed="false">
      <c r="A156" s="5" t="s">
        <v>127</v>
      </c>
      <c r="B156" s="5" t="s">
        <v>128</v>
      </c>
      <c r="C156" s="5" t="s">
        <v>75</v>
      </c>
      <c r="D156" s="5" t="s">
        <v>76</v>
      </c>
      <c r="E156" s="5" t="s">
        <v>114</v>
      </c>
      <c r="F156" s="5" t="n">
        <v>391</v>
      </c>
      <c r="G156" s="6" t="n">
        <v>-0.00600900207377031</v>
      </c>
      <c r="H156" s="6" t="n">
        <v>0.0088498582635353</v>
      </c>
      <c r="I156" s="7" t="n">
        <v>0.497544300697494</v>
      </c>
      <c r="J156" s="6" t="n">
        <f aca="false">EXP(G156)</f>
        <v>0.99400901587117</v>
      </c>
      <c r="K156" s="6" t="n">
        <f aca="false">EXP(G156-1.96*H156)</f>
        <v>0.976915886528691</v>
      </c>
      <c r="L156" s="6" t="n">
        <f aca="false">EXP(G156+1.96*H156)</f>
        <v>1.01140122425899</v>
      </c>
      <c r="M156" s="5" t="s">
        <v>78</v>
      </c>
      <c r="N156" s="5"/>
    </row>
    <row r="157" customFormat="false" ht="15" hidden="false" customHeight="true" outlineLevel="0" collapsed="false">
      <c r="A157" s="5" t="s">
        <v>127</v>
      </c>
      <c r="B157" s="5" t="s">
        <v>128</v>
      </c>
      <c r="C157" s="5" t="s">
        <v>75</v>
      </c>
      <c r="D157" s="5" t="s">
        <v>76</v>
      </c>
      <c r="E157" s="5" t="s">
        <v>115</v>
      </c>
      <c r="F157" s="5" t="n">
        <v>391</v>
      </c>
      <c r="G157" s="6" t="n">
        <v>-0.00600900207377031</v>
      </c>
      <c r="H157" s="6" t="n">
        <v>0.00966961599933802</v>
      </c>
      <c r="I157" s="7" t="n">
        <v>0.534678938521271</v>
      </c>
      <c r="J157" s="6" t="n">
        <f aca="false">EXP(G157)</f>
        <v>0.99400901587117</v>
      </c>
      <c r="K157" s="6" t="n">
        <f aca="false">EXP(G157-1.96*H157)</f>
        <v>0.975347511503692</v>
      </c>
      <c r="L157" s="6" t="n">
        <f aca="false">EXP(G157+1.96*H157)</f>
        <v>1.01302757425391</v>
      </c>
      <c r="M157" s="5" t="s">
        <v>78</v>
      </c>
      <c r="N157" s="5" t="s">
        <v>116</v>
      </c>
    </row>
    <row r="158" customFormat="false" ht="15" hidden="false" customHeight="true" outlineLevel="0" collapsed="false">
      <c r="A158" s="5" t="s">
        <v>127</v>
      </c>
      <c r="B158" s="5" t="s">
        <v>128</v>
      </c>
      <c r="C158" s="5" t="s">
        <v>75</v>
      </c>
      <c r="D158" s="5" t="s">
        <v>76</v>
      </c>
      <c r="E158" s="5" t="s">
        <v>117</v>
      </c>
      <c r="F158" s="5" t="n">
        <v>391</v>
      </c>
      <c r="G158" s="6" t="n">
        <v>-0.00160810751085996</v>
      </c>
      <c r="H158" s="6" t="n">
        <v>0.00579303741907574</v>
      </c>
      <c r="I158" s="7" t="n">
        <v>0.781471780052928</v>
      </c>
      <c r="J158" s="6" t="n">
        <f aca="false">EXP(G158)</f>
        <v>0.998393184801205</v>
      </c>
      <c r="K158" s="6" t="n">
        <f aca="false">EXP(G158-1.96*H158)</f>
        <v>0.987121190012977</v>
      </c>
      <c r="L158" s="6" t="n">
        <f aca="false">EXP(G158+1.96*H158)</f>
        <v>1.0097938951593</v>
      </c>
      <c r="M158" s="5" t="s">
        <v>78</v>
      </c>
      <c r="N158" s="5"/>
    </row>
    <row r="159" customFormat="false" ht="15" hidden="false" customHeight="true" outlineLevel="0" collapsed="false">
      <c r="A159" s="5" t="s">
        <v>127</v>
      </c>
      <c r="B159" s="5" t="s">
        <v>128</v>
      </c>
      <c r="C159" s="5" t="s">
        <v>75</v>
      </c>
      <c r="D159" s="5" t="s">
        <v>76</v>
      </c>
      <c r="E159" s="5" t="s">
        <v>118</v>
      </c>
      <c r="F159" s="5" t="n">
        <v>391</v>
      </c>
      <c r="G159" s="6" t="n">
        <v>-0.00160810751085996</v>
      </c>
      <c r="H159" s="6" t="n">
        <v>0.00570284629917481</v>
      </c>
      <c r="I159" s="7" t="n">
        <v>0.778105876037756</v>
      </c>
      <c r="J159" s="6" t="n">
        <f aca="false">EXP(G159)</f>
        <v>0.998393184801205</v>
      </c>
      <c r="K159" s="6" t="n">
        <f aca="false">EXP(G159-1.96*H159)</f>
        <v>0.987295703385875</v>
      </c>
      <c r="L159" s="6" t="n">
        <f aca="false">EXP(G159+1.96*H159)</f>
        <v>1.00961540502917</v>
      </c>
      <c r="M159" s="5" t="s">
        <v>78</v>
      </c>
      <c r="N159" s="5" t="s">
        <v>119</v>
      </c>
    </row>
    <row r="160" customFormat="false" ht="15" hidden="false" customHeight="true" outlineLevel="0" collapsed="false">
      <c r="A160" s="5" t="s">
        <v>127</v>
      </c>
      <c r="B160" s="5" t="s">
        <v>128</v>
      </c>
      <c r="C160" s="5" t="s">
        <v>75</v>
      </c>
      <c r="D160" s="5" t="s">
        <v>76</v>
      </c>
      <c r="E160" s="5" t="s">
        <v>120</v>
      </c>
      <c r="F160" s="5" t="n">
        <v>391</v>
      </c>
      <c r="G160" s="6" t="n">
        <v>-0.00322755617364238</v>
      </c>
      <c r="H160" s="6" t="n">
        <v>0.00237664323760122</v>
      </c>
      <c r="I160" s="7" t="n">
        <v>0.174453716751828</v>
      </c>
      <c r="J160" s="6" t="n">
        <f aca="false">EXP(G160)</f>
        <v>0.996777646786664</v>
      </c>
      <c r="K160" s="6" t="n">
        <f aca="false">EXP(G160-1.96*H160)</f>
        <v>0.992145234250209</v>
      </c>
      <c r="L160" s="6" t="n">
        <f aca="false">EXP(G160+1.96*H160)</f>
        <v>1.00143168846084</v>
      </c>
      <c r="M160" s="5" t="s">
        <v>78</v>
      </c>
      <c r="N160" s="5"/>
    </row>
    <row r="161" customFormat="false" ht="15" hidden="false" customHeight="true" outlineLevel="0" collapsed="false">
      <c r="A161" s="5" t="s">
        <v>127</v>
      </c>
      <c r="B161" s="5" t="s">
        <v>128</v>
      </c>
      <c r="C161" s="5" t="s">
        <v>75</v>
      </c>
      <c r="D161" s="5" t="s">
        <v>76</v>
      </c>
      <c r="E161" s="5" t="s">
        <v>121</v>
      </c>
      <c r="F161" s="5" t="n">
        <v>391</v>
      </c>
      <c r="G161" s="6" t="n">
        <v>-0.00541461356233281</v>
      </c>
      <c r="H161" s="6" t="n">
        <v>0.00368393765557969</v>
      </c>
      <c r="I161" s="7" t="n">
        <v>0.142427024664568</v>
      </c>
      <c r="J161" s="6" t="n">
        <f aca="false">EXP(G161)</f>
        <v>0.994600019035815</v>
      </c>
      <c r="K161" s="6" t="n">
        <f aca="false">EXP(G161-1.96*H161)</f>
        <v>0.987444356771836</v>
      </c>
      <c r="L161" s="6" t="n">
        <f aca="false">EXP(G161+1.96*H161)</f>
        <v>1.00180753586971</v>
      </c>
      <c r="M161" s="5" t="s">
        <v>78</v>
      </c>
      <c r="N161" s="5"/>
    </row>
    <row r="162" customFormat="false" ht="15" hidden="false" customHeight="true" outlineLevel="0" collapsed="false">
      <c r="A162" s="5" t="s">
        <v>127</v>
      </c>
      <c r="B162" s="5" t="s">
        <v>128</v>
      </c>
      <c r="C162" s="5" t="s">
        <v>75</v>
      </c>
      <c r="D162" s="5" t="s">
        <v>76</v>
      </c>
      <c r="E162" s="5" t="s">
        <v>122</v>
      </c>
      <c r="F162" s="5" t="n">
        <v>391</v>
      </c>
      <c r="G162" s="6" t="n">
        <v>-0.0104692233725407</v>
      </c>
      <c r="H162" s="6" t="n">
        <v>0.156641712011114</v>
      </c>
      <c r="I162" s="7" t="n">
        <v>0.946712680831732</v>
      </c>
      <c r="J162" s="6" t="n">
        <f aca="false">EXP(G162)</f>
        <v>0.989585388200068</v>
      </c>
      <c r="K162" s="6" t="s">
        <v>81</v>
      </c>
      <c r="L162" s="6" t="s">
        <v>81</v>
      </c>
      <c r="M162" s="5" t="s">
        <v>78</v>
      </c>
      <c r="N162" s="5" t="s">
        <v>123</v>
      </c>
    </row>
    <row r="163" customFormat="false" ht="15" hidden="false" customHeight="true" outlineLevel="0" collapsed="false">
      <c r="A163" s="5" t="s">
        <v>127</v>
      </c>
      <c r="B163" s="5" t="s">
        <v>128</v>
      </c>
      <c r="C163" s="5" t="s">
        <v>75</v>
      </c>
      <c r="D163" s="5" t="s">
        <v>76</v>
      </c>
      <c r="E163" s="5" t="s">
        <v>124</v>
      </c>
      <c r="F163" s="5" t="n">
        <v>391</v>
      </c>
      <c r="G163" s="6" t="n">
        <v>-0.0741687979539642</v>
      </c>
      <c r="H163" s="6"/>
      <c r="I163" s="7" t="n">
        <v>0.156680707666958</v>
      </c>
      <c r="J163" s="6" t="n">
        <f aca="false">EXP(G163)</f>
        <v>0.928514949188923</v>
      </c>
      <c r="K163" s="6" t="s">
        <v>81</v>
      </c>
      <c r="L163" s="6" t="s">
        <v>81</v>
      </c>
      <c r="M163" s="5" t="s">
        <v>78</v>
      </c>
      <c r="N163" s="5" t="s">
        <v>125</v>
      </c>
    </row>
    <row r="164" customFormat="false" ht="15" hidden="false" customHeight="true" outlineLevel="0" collapsed="false">
      <c r="A164" s="5" t="s">
        <v>127</v>
      </c>
      <c r="B164" s="5" t="s">
        <v>128</v>
      </c>
      <c r="C164" s="5" t="s">
        <v>79</v>
      </c>
      <c r="D164" s="5" t="s">
        <v>80</v>
      </c>
      <c r="E164" s="5" t="s">
        <v>100</v>
      </c>
      <c r="F164" s="5" t="n">
        <v>443</v>
      </c>
      <c r="G164" s="6" t="n">
        <v>-0.000100954355412276</v>
      </c>
      <c r="H164" s="6" t="n">
        <v>5.00687492972176E-005</v>
      </c>
      <c r="I164" s="7" t="n">
        <v>0.0437670783278524</v>
      </c>
      <c r="J164" s="6" t="s">
        <v>81</v>
      </c>
      <c r="K164" s="6" t="s">
        <v>81</v>
      </c>
      <c r="L164" s="6" t="s">
        <v>81</v>
      </c>
      <c r="M164" s="5" t="s">
        <v>82</v>
      </c>
      <c r="N164" s="5"/>
    </row>
    <row r="165" customFormat="false" ht="15" hidden="false" customHeight="true" outlineLevel="0" collapsed="false">
      <c r="A165" s="5" t="s">
        <v>127</v>
      </c>
      <c r="B165" s="5" t="s">
        <v>128</v>
      </c>
      <c r="C165" s="5" t="s">
        <v>79</v>
      </c>
      <c r="D165" s="5" t="s">
        <v>80</v>
      </c>
      <c r="E165" s="5" t="s">
        <v>101</v>
      </c>
      <c r="F165" s="5" t="n">
        <v>443</v>
      </c>
      <c r="G165" s="6" t="n">
        <v>-0.000100954355412276</v>
      </c>
      <c r="H165" s="6" t="n">
        <v>4.94336033277708E-005</v>
      </c>
      <c r="I165" s="7" t="n">
        <v>0.0411295890525301</v>
      </c>
      <c r="J165" s="6" t="s">
        <v>81</v>
      </c>
      <c r="K165" s="6" t="s">
        <v>81</v>
      </c>
      <c r="L165" s="6" t="s">
        <v>81</v>
      </c>
      <c r="M165" s="5" t="s">
        <v>82</v>
      </c>
      <c r="N165" s="5" t="s">
        <v>102</v>
      </c>
    </row>
    <row r="166" customFormat="false" ht="15" hidden="false" customHeight="true" outlineLevel="0" collapsed="false">
      <c r="A166" s="5" t="s">
        <v>127</v>
      </c>
      <c r="B166" s="5" t="s">
        <v>128</v>
      </c>
      <c r="C166" s="5" t="s">
        <v>79</v>
      </c>
      <c r="D166" s="5" t="s">
        <v>80</v>
      </c>
      <c r="E166" s="5" t="s">
        <v>103</v>
      </c>
      <c r="F166" s="5" t="n">
        <v>443</v>
      </c>
      <c r="G166" s="6" t="n">
        <v>-0.000100954355412276</v>
      </c>
      <c r="H166" s="6" t="n">
        <v>5.00687492972176E-005</v>
      </c>
      <c r="I166" s="7" t="n">
        <v>0.0437670783278524</v>
      </c>
      <c r="J166" s="6" t="s">
        <v>81</v>
      </c>
      <c r="K166" s="6" t="s">
        <v>81</v>
      </c>
      <c r="L166" s="6" t="s">
        <v>81</v>
      </c>
      <c r="M166" s="5" t="s">
        <v>82</v>
      </c>
      <c r="N166" s="5" t="s">
        <v>104</v>
      </c>
    </row>
    <row r="167" customFormat="false" ht="15" hidden="false" customHeight="true" outlineLevel="0" collapsed="false">
      <c r="A167" s="5" t="s">
        <v>127</v>
      </c>
      <c r="B167" s="5" t="s">
        <v>128</v>
      </c>
      <c r="C167" s="5" t="s">
        <v>79</v>
      </c>
      <c r="D167" s="5" t="s">
        <v>80</v>
      </c>
      <c r="E167" s="5" t="s">
        <v>105</v>
      </c>
      <c r="F167" s="5" t="n">
        <v>443</v>
      </c>
      <c r="G167" s="6" t="n">
        <v>-0.00010095433381208</v>
      </c>
      <c r="H167" s="6" t="n">
        <v>4.94336045794073E-005</v>
      </c>
      <c r="I167" s="7" t="n">
        <v>0.041129637503192</v>
      </c>
      <c r="J167" s="6" t="s">
        <v>81</v>
      </c>
      <c r="K167" s="6" t="s">
        <v>81</v>
      </c>
      <c r="L167" s="6" t="s">
        <v>81</v>
      </c>
      <c r="M167" s="5" t="s">
        <v>82</v>
      </c>
      <c r="N167" s="5" t="s">
        <v>106</v>
      </c>
    </row>
    <row r="168" customFormat="false" ht="15" hidden="false" customHeight="true" outlineLevel="0" collapsed="false">
      <c r="A168" s="5" t="s">
        <v>127</v>
      </c>
      <c r="B168" s="5" t="s">
        <v>128</v>
      </c>
      <c r="C168" s="5" t="s">
        <v>79</v>
      </c>
      <c r="D168" s="5" t="s">
        <v>80</v>
      </c>
      <c r="E168" s="5" t="s">
        <v>107</v>
      </c>
      <c r="F168" s="5" t="n">
        <v>443</v>
      </c>
      <c r="G168" s="6" t="n">
        <v>-0.000101537047387702</v>
      </c>
      <c r="H168" s="6" t="n">
        <v>5.04017421010305E-005</v>
      </c>
      <c r="I168" s="7" t="n">
        <v>0.043951367649001</v>
      </c>
      <c r="J168" s="6" t="s">
        <v>81</v>
      </c>
      <c r="K168" s="6" t="s">
        <v>81</v>
      </c>
      <c r="L168" s="6" t="s">
        <v>81</v>
      </c>
      <c r="M168" s="5" t="s">
        <v>82</v>
      </c>
      <c r="N168" s="5"/>
    </row>
    <row r="169" customFormat="false" ht="15" hidden="false" customHeight="true" outlineLevel="0" collapsed="false">
      <c r="A169" s="5" t="s">
        <v>127</v>
      </c>
      <c r="B169" s="5" t="s">
        <v>128</v>
      </c>
      <c r="C169" s="5" t="s">
        <v>79</v>
      </c>
      <c r="D169" s="5" t="s">
        <v>80</v>
      </c>
      <c r="E169" s="5" t="s">
        <v>108</v>
      </c>
      <c r="F169" s="5" t="n">
        <v>443</v>
      </c>
      <c r="G169" s="6" t="n">
        <v>-0.000150359301183015</v>
      </c>
      <c r="H169" s="6" t="n">
        <v>0.000125192042880852</v>
      </c>
      <c r="I169" s="7" t="n">
        <v>0.230384528254498</v>
      </c>
      <c r="J169" s="6" t="s">
        <v>81</v>
      </c>
      <c r="K169" s="6" t="s">
        <v>81</v>
      </c>
      <c r="L169" s="6" t="s">
        <v>81</v>
      </c>
      <c r="M169" s="5" t="s">
        <v>82</v>
      </c>
      <c r="N169" s="5"/>
    </row>
    <row r="170" customFormat="false" ht="15" hidden="false" customHeight="true" outlineLevel="0" collapsed="false">
      <c r="A170" s="5" t="s">
        <v>127</v>
      </c>
      <c r="B170" s="5" t="s">
        <v>128</v>
      </c>
      <c r="C170" s="5" t="s">
        <v>79</v>
      </c>
      <c r="D170" s="5" t="s">
        <v>80</v>
      </c>
      <c r="E170" s="5" t="s">
        <v>109</v>
      </c>
      <c r="F170" s="5" t="n">
        <v>443</v>
      </c>
      <c r="G170" s="6" t="n">
        <v>-0.000169627030209005</v>
      </c>
      <c r="H170" s="6" t="n">
        <v>0.00012121388264804</v>
      </c>
      <c r="I170" s="7" t="n">
        <v>0.084</v>
      </c>
      <c r="J170" s="6" t="s">
        <v>81</v>
      </c>
      <c r="K170" s="6" t="s">
        <v>81</v>
      </c>
      <c r="L170" s="6" t="s">
        <v>81</v>
      </c>
      <c r="M170" s="5" t="s">
        <v>82</v>
      </c>
      <c r="N170" s="5" t="s">
        <v>110</v>
      </c>
    </row>
    <row r="171" customFormat="false" ht="15" hidden="false" customHeight="true" outlineLevel="0" collapsed="false">
      <c r="A171" s="5" t="s">
        <v>127</v>
      </c>
      <c r="B171" s="5" t="s">
        <v>128</v>
      </c>
      <c r="C171" s="5" t="s">
        <v>79</v>
      </c>
      <c r="D171" s="5" t="s">
        <v>80</v>
      </c>
      <c r="E171" s="5" t="s">
        <v>111</v>
      </c>
      <c r="F171" s="5" t="n">
        <v>443</v>
      </c>
      <c r="G171" s="6" t="n">
        <v>-7.52085374387698E-005</v>
      </c>
      <c r="H171" s="6" t="n">
        <v>7.46251321247752E-005</v>
      </c>
      <c r="I171" s="7" t="n">
        <v>0.313541932866584</v>
      </c>
      <c r="J171" s="6" t="s">
        <v>81</v>
      </c>
      <c r="K171" s="6" t="s">
        <v>81</v>
      </c>
      <c r="L171" s="6" t="s">
        <v>81</v>
      </c>
      <c r="M171" s="5" t="s">
        <v>82</v>
      </c>
      <c r="N171" s="5"/>
    </row>
    <row r="172" customFormat="false" ht="15" hidden="false" customHeight="true" outlineLevel="0" collapsed="false">
      <c r="A172" s="5" t="s">
        <v>127</v>
      </c>
      <c r="B172" s="5" t="s">
        <v>128</v>
      </c>
      <c r="C172" s="5" t="s">
        <v>79</v>
      </c>
      <c r="D172" s="5" t="s">
        <v>80</v>
      </c>
      <c r="E172" s="5" t="s">
        <v>112</v>
      </c>
      <c r="F172" s="5" t="n">
        <v>443</v>
      </c>
      <c r="G172" s="6" t="n">
        <v>-7.5141025677605E-005</v>
      </c>
      <c r="H172" s="6" t="n">
        <v>7.93925109748727E-005</v>
      </c>
      <c r="I172" s="7" t="n">
        <v>0.343919218127044</v>
      </c>
      <c r="J172" s="6" t="s">
        <v>81</v>
      </c>
      <c r="K172" s="6" t="s">
        <v>81</v>
      </c>
      <c r="L172" s="6" t="s">
        <v>81</v>
      </c>
      <c r="M172" s="5" t="s">
        <v>82</v>
      </c>
      <c r="N172" s="5"/>
    </row>
    <row r="173" customFormat="false" ht="15" hidden="false" customHeight="true" outlineLevel="0" collapsed="false">
      <c r="A173" s="5" t="s">
        <v>127</v>
      </c>
      <c r="B173" s="5" t="s">
        <v>128</v>
      </c>
      <c r="C173" s="5" t="s">
        <v>79</v>
      </c>
      <c r="D173" s="5" t="s">
        <v>80</v>
      </c>
      <c r="E173" s="5" t="s">
        <v>113</v>
      </c>
      <c r="F173" s="5" t="n">
        <v>443</v>
      </c>
      <c r="G173" s="6" t="n">
        <v>-7.10927106530376E-005</v>
      </c>
      <c r="H173" s="6" t="n">
        <v>7.54665873379367E-005</v>
      </c>
      <c r="I173" s="7" t="n">
        <v>0.346171030176778</v>
      </c>
      <c r="J173" s="6" t="s">
        <v>81</v>
      </c>
      <c r="K173" s="6" t="s">
        <v>81</v>
      </c>
      <c r="L173" s="6" t="s">
        <v>81</v>
      </c>
      <c r="M173" s="5" t="s">
        <v>82</v>
      </c>
      <c r="N173" s="5"/>
    </row>
    <row r="174" customFormat="false" ht="15" hidden="false" customHeight="true" outlineLevel="0" collapsed="false">
      <c r="A174" s="5" t="s">
        <v>127</v>
      </c>
      <c r="B174" s="5" t="s">
        <v>128</v>
      </c>
      <c r="C174" s="5" t="s">
        <v>79</v>
      </c>
      <c r="D174" s="5" t="s">
        <v>80</v>
      </c>
      <c r="E174" s="5" t="s">
        <v>114</v>
      </c>
      <c r="F174" s="5" t="n">
        <v>443</v>
      </c>
      <c r="G174" s="6" t="n">
        <v>8.57482941131054E-005</v>
      </c>
      <c r="H174" s="6" t="n">
        <v>0.000224070504602655</v>
      </c>
      <c r="I174" s="7" t="n">
        <v>0.702137713529927</v>
      </c>
      <c r="J174" s="6" t="s">
        <v>81</v>
      </c>
      <c r="K174" s="6" t="s">
        <v>81</v>
      </c>
      <c r="L174" s="6" t="s">
        <v>81</v>
      </c>
      <c r="M174" s="5" t="s">
        <v>82</v>
      </c>
      <c r="N174" s="5"/>
    </row>
    <row r="175" customFormat="false" ht="15" hidden="false" customHeight="true" outlineLevel="0" collapsed="false">
      <c r="A175" s="5" t="s">
        <v>127</v>
      </c>
      <c r="B175" s="5" t="s">
        <v>128</v>
      </c>
      <c r="C175" s="5" t="s">
        <v>79</v>
      </c>
      <c r="D175" s="5" t="s">
        <v>80</v>
      </c>
      <c r="E175" s="5" t="s">
        <v>115</v>
      </c>
      <c r="F175" s="5" t="n">
        <v>443</v>
      </c>
      <c r="G175" s="6" t="n">
        <v>8.57482941131054E-005</v>
      </c>
      <c r="H175" s="6" t="n">
        <v>0.000225573971226496</v>
      </c>
      <c r="I175" s="7" t="n">
        <v>0.704028683445604</v>
      </c>
      <c r="J175" s="6" t="s">
        <v>81</v>
      </c>
      <c r="K175" s="6" t="s">
        <v>81</v>
      </c>
      <c r="L175" s="6" t="s">
        <v>81</v>
      </c>
      <c r="M175" s="5" t="s">
        <v>82</v>
      </c>
      <c r="N175" s="5" t="s">
        <v>116</v>
      </c>
    </row>
    <row r="176" customFormat="false" ht="15" hidden="false" customHeight="true" outlineLevel="0" collapsed="false">
      <c r="A176" s="5" t="s">
        <v>127</v>
      </c>
      <c r="B176" s="5" t="s">
        <v>128</v>
      </c>
      <c r="C176" s="5" t="s">
        <v>79</v>
      </c>
      <c r="D176" s="5" t="s">
        <v>80</v>
      </c>
      <c r="E176" s="5" t="s">
        <v>117</v>
      </c>
      <c r="F176" s="5" t="n">
        <v>443</v>
      </c>
      <c r="G176" s="6" t="n">
        <v>1.53115353940942E-005</v>
      </c>
      <c r="H176" s="6" t="n">
        <v>0.000155149141953616</v>
      </c>
      <c r="I176" s="7" t="n">
        <v>0.921429831947542</v>
      </c>
      <c r="J176" s="6" t="s">
        <v>81</v>
      </c>
      <c r="K176" s="6" t="s">
        <v>81</v>
      </c>
      <c r="L176" s="6" t="s">
        <v>81</v>
      </c>
      <c r="M176" s="5" t="s">
        <v>82</v>
      </c>
      <c r="N176" s="5"/>
    </row>
    <row r="177" customFormat="false" ht="15" hidden="false" customHeight="true" outlineLevel="0" collapsed="false">
      <c r="A177" s="5" t="s">
        <v>127</v>
      </c>
      <c r="B177" s="5" t="s">
        <v>128</v>
      </c>
      <c r="C177" s="5" t="s">
        <v>79</v>
      </c>
      <c r="D177" s="5" t="s">
        <v>80</v>
      </c>
      <c r="E177" s="5" t="s">
        <v>118</v>
      </c>
      <c r="F177" s="5" t="n">
        <v>443</v>
      </c>
      <c r="G177" s="6" t="n">
        <v>1.53115353940942E-005</v>
      </c>
      <c r="H177" s="6" t="n">
        <v>0.000165987891590287</v>
      </c>
      <c r="I177" s="7" t="n">
        <v>0.926545263619099</v>
      </c>
      <c r="J177" s="6" t="s">
        <v>81</v>
      </c>
      <c r="K177" s="6" t="s">
        <v>81</v>
      </c>
      <c r="L177" s="6" t="s">
        <v>81</v>
      </c>
      <c r="M177" s="5" t="s">
        <v>82</v>
      </c>
      <c r="N177" s="5" t="s">
        <v>119</v>
      </c>
    </row>
    <row r="178" customFormat="false" ht="15" hidden="false" customHeight="true" outlineLevel="0" collapsed="false">
      <c r="A178" s="5" t="s">
        <v>127</v>
      </c>
      <c r="B178" s="5" t="s">
        <v>128</v>
      </c>
      <c r="C178" s="5" t="s">
        <v>79</v>
      </c>
      <c r="D178" s="5" t="s">
        <v>80</v>
      </c>
      <c r="E178" s="5" t="s">
        <v>120</v>
      </c>
      <c r="F178" s="5" t="n">
        <v>443</v>
      </c>
      <c r="G178" s="6" t="n">
        <v>-0.000102950269872048</v>
      </c>
      <c r="H178" s="6" t="n">
        <v>5.20554335562025E-005</v>
      </c>
      <c r="I178" s="7" t="n">
        <v>0.0479620421773483</v>
      </c>
      <c r="J178" s="6" t="s">
        <v>81</v>
      </c>
      <c r="K178" s="6" t="s">
        <v>81</v>
      </c>
      <c r="L178" s="6" t="s">
        <v>81</v>
      </c>
      <c r="M178" s="5" t="s">
        <v>82</v>
      </c>
      <c r="N178" s="5"/>
    </row>
    <row r="179" customFormat="false" ht="15" hidden="false" customHeight="true" outlineLevel="0" collapsed="false">
      <c r="A179" s="5" t="s">
        <v>127</v>
      </c>
      <c r="B179" s="5" t="s">
        <v>128</v>
      </c>
      <c r="C179" s="5" t="s">
        <v>79</v>
      </c>
      <c r="D179" s="5" t="s">
        <v>80</v>
      </c>
      <c r="E179" s="5" t="s">
        <v>121</v>
      </c>
      <c r="F179" s="5" t="n">
        <v>443</v>
      </c>
      <c r="G179" s="6" t="n">
        <v>-0.000110493474300869</v>
      </c>
      <c r="H179" s="6" t="n">
        <v>7.97579541230172E-005</v>
      </c>
      <c r="I179" s="7" t="n">
        <v>0.166642721470165</v>
      </c>
      <c r="J179" s="6" t="s">
        <v>81</v>
      </c>
      <c r="K179" s="6" t="s">
        <v>81</v>
      </c>
      <c r="L179" s="6" t="s">
        <v>81</v>
      </c>
      <c r="M179" s="5" t="s">
        <v>82</v>
      </c>
      <c r="N179" s="5"/>
    </row>
    <row r="180" customFormat="false" ht="15" hidden="false" customHeight="true" outlineLevel="0" collapsed="false">
      <c r="A180" s="5" t="s">
        <v>127</v>
      </c>
      <c r="B180" s="5" t="s">
        <v>128</v>
      </c>
      <c r="C180" s="5" t="s">
        <v>79</v>
      </c>
      <c r="D180" s="5" t="s">
        <v>80</v>
      </c>
      <c r="E180" s="5" t="s">
        <v>122</v>
      </c>
      <c r="F180" s="5" t="n">
        <v>443</v>
      </c>
      <c r="G180" s="6" t="n">
        <v>-0.000105668633051067</v>
      </c>
      <c r="H180" s="6" t="n">
        <v>0.134781518795435</v>
      </c>
      <c r="I180" s="7" t="n">
        <v>0.999374459028292</v>
      </c>
      <c r="J180" s="6" t="s">
        <v>81</v>
      </c>
      <c r="K180" s="6" t="s">
        <v>81</v>
      </c>
      <c r="L180" s="6" t="s">
        <v>81</v>
      </c>
      <c r="M180" s="5" t="s">
        <v>82</v>
      </c>
      <c r="N180" s="5" t="s">
        <v>123</v>
      </c>
    </row>
    <row r="181" customFormat="false" ht="15" hidden="false" customHeight="true" outlineLevel="0" collapsed="false">
      <c r="A181" s="5" t="s">
        <v>127</v>
      </c>
      <c r="B181" s="5" t="s">
        <v>128</v>
      </c>
      <c r="C181" s="5" t="s">
        <v>79</v>
      </c>
      <c r="D181" s="5" t="s">
        <v>80</v>
      </c>
      <c r="E181" s="5" t="s">
        <v>124</v>
      </c>
      <c r="F181" s="5" t="n">
        <v>443</v>
      </c>
      <c r="G181" s="6" t="n">
        <v>-0.0609480812641083</v>
      </c>
      <c r="H181" s="6"/>
      <c r="I181" s="7" t="n">
        <v>0.216674605153723</v>
      </c>
      <c r="J181" s="6" t="s">
        <v>81</v>
      </c>
      <c r="K181" s="6" t="s">
        <v>81</v>
      </c>
      <c r="L181" s="6" t="s">
        <v>81</v>
      </c>
      <c r="M181" s="5" t="s">
        <v>82</v>
      </c>
      <c r="N181" s="5" t="s">
        <v>125</v>
      </c>
    </row>
    <row r="182" customFormat="false" ht="15" hidden="false" customHeight="true" outlineLevel="0" collapsed="false">
      <c r="A182" s="5" t="s">
        <v>127</v>
      </c>
      <c r="B182" s="5" t="s">
        <v>128</v>
      </c>
      <c r="C182" s="5" t="s">
        <v>83</v>
      </c>
      <c r="D182" s="5" t="s">
        <v>84</v>
      </c>
      <c r="E182" s="5" t="s">
        <v>100</v>
      </c>
      <c r="F182" s="5" t="n">
        <v>434</v>
      </c>
      <c r="G182" s="6" t="n">
        <v>0.0028929579443562</v>
      </c>
      <c r="H182" s="6" t="n">
        <v>0.00225133483948068</v>
      </c>
      <c r="I182" s="7" t="n">
        <v>0.198793420904864</v>
      </c>
      <c r="J182" s="6" t="n">
        <f aca="false">EXP(G182)</f>
        <v>1.0028971465854</v>
      </c>
      <c r="K182" s="6" t="n">
        <f aca="false">EXP(G182-1.96*H182)</f>
        <v>0.998481495755026</v>
      </c>
      <c r="L182" s="6" t="n">
        <f aca="false">EXP(G182+1.96*H182)</f>
        <v>1.00733232504082</v>
      </c>
      <c r="M182" s="5" t="s">
        <v>78</v>
      </c>
      <c r="N182" s="5"/>
    </row>
    <row r="183" customFormat="false" ht="15" hidden="false" customHeight="true" outlineLevel="0" collapsed="false">
      <c r="A183" s="5" t="s">
        <v>127</v>
      </c>
      <c r="B183" s="5" t="s">
        <v>128</v>
      </c>
      <c r="C183" s="5" t="s">
        <v>83</v>
      </c>
      <c r="D183" s="5" t="s">
        <v>84</v>
      </c>
      <c r="E183" s="5" t="s">
        <v>101</v>
      </c>
      <c r="F183" s="5" t="n">
        <v>434</v>
      </c>
      <c r="G183" s="6" t="n">
        <v>0.0028929579443562</v>
      </c>
      <c r="H183" s="6" t="n">
        <v>0.00225133483948068</v>
      </c>
      <c r="I183" s="7" t="n">
        <v>0.198793420904864</v>
      </c>
      <c r="J183" s="6" t="n">
        <f aca="false">EXP(G183)</f>
        <v>1.0028971465854</v>
      </c>
      <c r="K183" s="6" t="n">
        <f aca="false">EXP(G183-1.96*H183)</f>
        <v>0.998481495755026</v>
      </c>
      <c r="L183" s="6" t="n">
        <f aca="false">EXP(G183+1.96*H183)</f>
        <v>1.00733232504082</v>
      </c>
      <c r="M183" s="5" t="s">
        <v>78</v>
      </c>
      <c r="N183" s="5" t="s">
        <v>102</v>
      </c>
    </row>
    <row r="184" customFormat="false" ht="15" hidden="false" customHeight="true" outlineLevel="0" collapsed="false">
      <c r="A184" s="5" t="s">
        <v>127</v>
      </c>
      <c r="B184" s="5" t="s">
        <v>128</v>
      </c>
      <c r="C184" s="5" t="s">
        <v>83</v>
      </c>
      <c r="D184" s="5" t="s">
        <v>84</v>
      </c>
      <c r="E184" s="5" t="s">
        <v>103</v>
      </c>
      <c r="F184" s="5" t="n">
        <v>434</v>
      </c>
      <c r="G184" s="6" t="n">
        <v>0.0028929579443562</v>
      </c>
      <c r="H184" s="6" t="n">
        <v>0.00213070729033648</v>
      </c>
      <c r="I184" s="7" t="n">
        <v>0.174544497065344</v>
      </c>
      <c r="J184" s="6" t="n">
        <f aca="false">EXP(G184)</f>
        <v>1.0028971465854</v>
      </c>
      <c r="K184" s="6" t="n">
        <f aca="false">EXP(G184-1.96*H184)</f>
        <v>0.998717594640725</v>
      </c>
      <c r="L184" s="6" t="n">
        <f aca="false">EXP(G184+1.96*H184)</f>
        <v>1.0070941896152</v>
      </c>
      <c r="M184" s="5" t="s">
        <v>78</v>
      </c>
      <c r="N184" s="5" t="s">
        <v>104</v>
      </c>
    </row>
    <row r="185" customFormat="false" ht="15" hidden="false" customHeight="true" outlineLevel="0" collapsed="false">
      <c r="A185" s="5" t="s">
        <v>127</v>
      </c>
      <c r="B185" s="5" t="s">
        <v>128</v>
      </c>
      <c r="C185" s="5" t="s">
        <v>83</v>
      </c>
      <c r="D185" s="5" t="s">
        <v>84</v>
      </c>
      <c r="E185" s="5" t="s">
        <v>105</v>
      </c>
      <c r="F185" s="5" t="n">
        <v>434</v>
      </c>
      <c r="G185" s="6" t="n">
        <v>0.00289299359985149</v>
      </c>
      <c r="H185" s="6" t="n">
        <v>0.00225133961749985</v>
      </c>
      <c r="I185" s="7" t="n">
        <v>0.198788839568632</v>
      </c>
      <c r="J185" s="6" t="n">
        <f aca="false">EXP(G185)</f>
        <v>1.0028971823442</v>
      </c>
      <c r="K185" s="6" t="n">
        <f aca="false">EXP(G185-1.96*H185)</f>
        <v>0.998481522005682</v>
      </c>
      <c r="L185" s="6" t="n">
        <f aca="false">EXP(G185+1.96*H185)</f>
        <v>1.00733237039134</v>
      </c>
      <c r="M185" s="5" t="s">
        <v>78</v>
      </c>
      <c r="N185" s="5" t="s">
        <v>106</v>
      </c>
    </row>
    <row r="186" customFormat="false" ht="15" hidden="false" customHeight="true" outlineLevel="0" collapsed="false">
      <c r="A186" s="5" t="s">
        <v>127</v>
      </c>
      <c r="B186" s="5" t="s">
        <v>128</v>
      </c>
      <c r="C186" s="5" t="s">
        <v>83</v>
      </c>
      <c r="D186" s="5" t="s">
        <v>84</v>
      </c>
      <c r="E186" s="5" t="s">
        <v>107</v>
      </c>
      <c r="F186" s="5" t="n">
        <v>434</v>
      </c>
      <c r="G186" s="6" t="n">
        <v>0.00290411603326645</v>
      </c>
      <c r="H186" s="6" t="n">
        <v>0.00214643392181523</v>
      </c>
      <c r="I186" s="7" t="n">
        <v>0.176056979285104</v>
      </c>
      <c r="J186" s="6" t="n">
        <f aca="false">EXP(G186)</f>
        <v>1.00290833706337</v>
      </c>
      <c r="K186" s="6" t="n">
        <f aca="false">EXP(G186-1.96*H186)</f>
        <v>0.998697953944989</v>
      </c>
      <c r="L186" s="6" t="n">
        <f aca="false">EXP(G186+1.96*H186)</f>
        <v>1.00713647061963</v>
      </c>
      <c r="M186" s="5" t="s">
        <v>78</v>
      </c>
      <c r="N186" s="5"/>
    </row>
    <row r="187" customFormat="false" ht="15" hidden="false" customHeight="true" outlineLevel="0" collapsed="false">
      <c r="A187" s="5" t="s">
        <v>127</v>
      </c>
      <c r="B187" s="5" t="s">
        <v>128</v>
      </c>
      <c r="C187" s="5" t="s">
        <v>83</v>
      </c>
      <c r="D187" s="5" t="s">
        <v>84</v>
      </c>
      <c r="E187" s="5" t="s">
        <v>108</v>
      </c>
      <c r="F187" s="5" t="n">
        <v>434</v>
      </c>
      <c r="G187" s="6" t="n">
        <v>0.00435623352641957</v>
      </c>
      <c r="H187" s="6" t="n">
        <v>0.00564293939804531</v>
      </c>
      <c r="I187" s="7" t="n">
        <v>0.440548661857193</v>
      </c>
      <c r="J187" s="6" t="n">
        <f aca="false">EXP(G187)</f>
        <v>1.00436573570458</v>
      </c>
      <c r="K187" s="6" t="n">
        <f aca="false">EXP(G187-1.96*H187)</f>
        <v>0.993318493498184</v>
      </c>
      <c r="L187" s="6" t="n">
        <f aca="false">EXP(G187+1.96*H187)</f>
        <v>1.01553584037771</v>
      </c>
      <c r="M187" s="5" t="s">
        <v>78</v>
      </c>
      <c r="N187" s="5"/>
    </row>
    <row r="188" customFormat="false" ht="15" hidden="false" customHeight="true" outlineLevel="0" collapsed="false">
      <c r="A188" s="5" t="s">
        <v>127</v>
      </c>
      <c r="B188" s="5" t="s">
        <v>128</v>
      </c>
      <c r="C188" s="5" t="s">
        <v>83</v>
      </c>
      <c r="D188" s="5" t="s">
        <v>84</v>
      </c>
      <c r="E188" s="5" t="s">
        <v>109</v>
      </c>
      <c r="F188" s="5" t="n">
        <v>434</v>
      </c>
      <c r="G188" s="6" t="n">
        <v>6.95559111474841E-005</v>
      </c>
      <c r="H188" s="6" t="n">
        <v>0.00526030935104018</v>
      </c>
      <c r="I188" s="7" t="n">
        <v>0.51</v>
      </c>
      <c r="J188" s="6" t="n">
        <f aca="false">EXP(G188)</f>
        <v>1.00006955833022</v>
      </c>
      <c r="K188" s="6" t="n">
        <f aca="false">EXP(G188-1.96*H188)</f>
        <v>0.989811606509825</v>
      </c>
      <c r="L188" s="6" t="n">
        <f aca="false">EXP(G188+1.96*H188)</f>
        <v>1.01043381884092</v>
      </c>
      <c r="M188" s="5" t="s">
        <v>78</v>
      </c>
      <c r="N188" s="5" t="s">
        <v>110</v>
      </c>
    </row>
    <row r="189" customFormat="false" ht="15" hidden="false" customHeight="true" outlineLevel="0" collapsed="false">
      <c r="A189" s="5" t="s">
        <v>127</v>
      </c>
      <c r="B189" s="5" t="s">
        <v>128</v>
      </c>
      <c r="C189" s="5" t="s">
        <v>83</v>
      </c>
      <c r="D189" s="5" t="s">
        <v>84</v>
      </c>
      <c r="E189" s="5" t="s">
        <v>111</v>
      </c>
      <c r="F189" s="5" t="n">
        <v>434</v>
      </c>
      <c r="G189" s="6" t="n">
        <v>0.00361019233276263</v>
      </c>
      <c r="H189" s="6" t="n">
        <v>0.0032676558117787</v>
      </c>
      <c r="I189" s="7" t="n">
        <v>0.269234828652493</v>
      </c>
      <c r="J189" s="6" t="n">
        <f aca="false">EXP(G189)</f>
        <v>1.00361671692642</v>
      </c>
      <c r="K189" s="6" t="n">
        <f aca="false">EXP(G189-1.96*H189)</f>
        <v>0.997209487679576</v>
      </c>
      <c r="L189" s="6" t="n">
        <f aca="false">EXP(G189+1.96*H189)</f>
        <v>1.0100651136382</v>
      </c>
      <c r="M189" s="5" t="s">
        <v>78</v>
      </c>
      <c r="N189" s="5"/>
    </row>
    <row r="190" customFormat="false" ht="15" hidden="false" customHeight="true" outlineLevel="0" collapsed="false">
      <c r="A190" s="5" t="s">
        <v>127</v>
      </c>
      <c r="B190" s="5" t="s">
        <v>128</v>
      </c>
      <c r="C190" s="5" t="s">
        <v>83</v>
      </c>
      <c r="D190" s="5" t="s">
        <v>84</v>
      </c>
      <c r="E190" s="5" t="s">
        <v>112</v>
      </c>
      <c r="F190" s="5" t="n">
        <v>434</v>
      </c>
      <c r="G190" s="6" t="n">
        <v>0.00238652638749277</v>
      </c>
      <c r="H190" s="6" t="n">
        <v>0.00343361337149316</v>
      </c>
      <c r="I190" s="7" t="n">
        <v>0.487025169698376</v>
      </c>
      <c r="J190" s="6" t="n">
        <f aca="false">EXP(G190)</f>
        <v>1.00238937640836</v>
      </c>
      <c r="K190" s="6" t="n">
        <f aca="false">EXP(G190-1.96*H190)</f>
        <v>0.995666062908028</v>
      </c>
      <c r="L190" s="6" t="n">
        <f aca="false">EXP(G190+1.96*H190)</f>
        <v>1.00915808961257</v>
      </c>
      <c r="M190" s="5" t="s">
        <v>78</v>
      </c>
      <c r="N190" s="5"/>
    </row>
    <row r="191" customFormat="false" ht="15" hidden="false" customHeight="true" outlineLevel="0" collapsed="false">
      <c r="A191" s="5" t="s">
        <v>127</v>
      </c>
      <c r="B191" s="5" t="s">
        <v>128</v>
      </c>
      <c r="C191" s="5" t="s">
        <v>83</v>
      </c>
      <c r="D191" s="5" t="s">
        <v>84</v>
      </c>
      <c r="E191" s="5" t="s">
        <v>113</v>
      </c>
      <c r="F191" s="5" t="n">
        <v>434</v>
      </c>
      <c r="G191" s="6" t="n">
        <v>0.00240673451343356</v>
      </c>
      <c r="H191" s="6" t="n">
        <v>0.00343478437786831</v>
      </c>
      <c r="I191" s="7" t="n">
        <v>0.483493690780845</v>
      </c>
      <c r="J191" s="6" t="n">
        <f aca="false">EXP(G191)</f>
        <v>1.00240963302379</v>
      </c>
      <c r="K191" s="6" t="n">
        <f aca="false">EXP(G191-1.96*H191)</f>
        <v>0.995683898387602</v>
      </c>
      <c r="L191" s="6" t="n">
        <f aca="false">EXP(G191+1.96*H191)</f>
        <v>1.00918079925375</v>
      </c>
      <c r="M191" s="5" t="s">
        <v>78</v>
      </c>
      <c r="N191" s="5"/>
    </row>
    <row r="192" customFormat="false" ht="15" hidden="false" customHeight="true" outlineLevel="0" collapsed="false">
      <c r="A192" s="5" t="s">
        <v>127</v>
      </c>
      <c r="B192" s="5" t="s">
        <v>128</v>
      </c>
      <c r="C192" s="5" t="s">
        <v>83</v>
      </c>
      <c r="D192" s="5" t="s">
        <v>84</v>
      </c>
      <c r="E192" s="5" t="s">
        <v>114</v>
      </c>
      <c r="F192" s="5" t="n">
        <v>434</v>
      </c>
      <c r="G192" s="6" t="n">
        <v>0.00210603251360893</v>
      </c>
      <c r="H192" s="6" t="n">
        <v>0.0103489082124442</v>
      </c>
      <c r="I192" s="7" t="n">
        <v>0.838837604600682</v>
      </c>
      <c r="J192" s="6" t="n">
        <f aca="false">EXP(G192)</f>
        <v>1.00210825175774</v>
      </c>
      <c r="K192" s="6" t="n">
        <f aca="false">EXP(G192-1.96*H192)</f>
        <v>0.981986392564361</v>
      </c>
      <c r="L192" s="6" t="n">
        <f aca="false">EXP(G192+1.96*H192)</f>
        <v>1.02264242747655</v>
      </c>
      <c r="M192" s="5" t="s">
        <v>78</v>
      </c>
      <c r="N192" s="5"/>
    </row>
    <row r="193" customFormat="false" ht="15" hidden="false" customHeight="true" outlineLevel="0" collapsed="false">
      <c r="A193" s="5" t="s">
        <v>127</v>
      </c>
      <c r="B193" s="5" t="s">
        <v>128</v>
      </c>
      <c r="C193" s="5" t="s">
        <v>83</v>
      </c>
      <c r="D193" s="5" t="s">
        <v>84</v>
      </c>
      <c r="E193" s="5" t="s">
        <v>115</v>
      </c>
      <c r="F193" s="5" t="n">
        <v>434</v>
      </c>
      <c r="G193" s="6" t="n">
        <v>0.00210603251360893</v>
      </c>
      <c r="H193" s="6" t="n">
        <v>0.0109935703530266</v>
      </c>
      <c r="I193" s="7" t="n">
        <v>0.848169253435372</v>
      </c>
      <c r="J193" s="6" t="n">
        <f aca="false">EXP(G193)</f>
        <v>1.00210825175774</v>
      </c>
      <c r="K193" s="6" t="n">
        <f aca="false">EXP(G193-1.96*H193)</f>
        <v>0.980746399196865</v>
      </c>
      <c r="L193" s="6" t="n">
        <f aca="false">EXP(G193+1.96*H193)</f>
        <v>1.02393539151744</v>
      </c>
      <c r="M193" s="5" t="s">
        <v>78</v>
      </c>
      <c r="N193" s="5" t="s">
        <v>116</v>
      </c>
    </row>
    <row r="194" customFormat="false" ht="15" hidden="false" customHeight="true" outlineLevel="0" collapsed="false">
      <c r="A194" s="5" t="s">
        <v>127</v>
      </c>
      <c r="B194" s="5" t="s">
        <v>128</v>
      </c>
      <c r="C194" s="5" t="s">
        <v>83</v>
      </c>
      <c r="D194" s="5" t="s">
        <v>84</v>
      </c>
      <c r="E194" s="5" t="s">
        <v>117</v>
      </c>
      <c r="F194" s="5" t="n">
        <v>434</v>
      </c>
      <c r="G194" s="6" t="n">
        <v>0.00386453390119332</v>
      </c>
      <c r="H194" s="6" t="n">
        <v>0.00778968807861347</v>
      </c>
      <c r="I194" s="7" t="n">
        <v>0.62006927893142</v>
      </c>
      <c r="J194" s="6" t="n">
        <f aca="false">EXP(G194)</f>
        <v>1.00387201084086</v>
      </c>
      <c r="K194" s="6" t="n">
        <f aca="false">EXP(G194-1.96*H194)</f>
        <v>0.988661515943743</v>
      </c>
      <c r="L194" s="6" t="n">
        <f aca="false">EXP(G194+1.96*H194)</f>
        <v>1.01931651824001</v>
      </c>
      <c r="M194" s="5" t="s">
        <v>78</v>
      </c>
      <c r="N194" s="5"/>
    </row>
    <row r="195" customFormat="false" ht="15" hidden="false" customHeight="true" outlineLevel="0" collapsed="false">
      <c r="A195" s="5" t="s">
        <v>127</v>
      </c>
      <c r="B195" s="5" t="s">
        <v>128</v>
      </c>
      <c r="C195" s="5" t="s">
        <v>83</v>
      </c>
      <c r="D195" s="5" t="s">
        <v>84</v>
      </c>
      <c r="E195" s="5" t="s">
        <v>118</v>
      </c>
      <c r="F195" s="5" t="n">
        <v>434</v>
      </c>
      <c r="G195" s="6" t="n">
        <v>0.00386453390119332</v>
      </c>
      <c r="H195" s="6" t="n">
        <v>0.00818056716489183</v>
      </c>
      <c r="I195" s="7" t="n">
        <v>0.636876342197539</v>
      </c>
      <c r="J195" s="6" t="n">
        <f aca="false">EXP(G195)</f>
        <v>1.00387201084086</v>
      </c>
      <c r="K195" s="6" t="n">
        <f aca="false">EXP(G195-1.96*H195)</f>
        <v>0.987904369678783</v>
      </c>
      <c r="L195" s="6" t="n">
        <f aca="false">EXP(G195+1.96*H195)</f>
        <v>1.0200977392957</v>
      </c>
      <c r="M195" s="5" t="s">
        <v>78</v>
      </c>
      <c r="N195" s="5" t="s">
        <v>119</v>
      </c>
    </row>
    <row r="196" customFormat="false" ht="15" hidden="false" customHeight="true" outlineLevel="0" collapsed="false">
      <c r="A196" s="5" t="s">
        <v>127</v>
      </c>
      <c r="B196" s="5" t="s">
        <v>128</v>
      </c>
      <c r="C196" s="5" t="s">
        <v>83</v>
      </c>
      <c r="D196" s="5" t="s">
        <v>84</v>
      </c>
      <c r="E196" s="5" t="s">
        <v>120</v>
      </c>
      <c r="F196" s="5" t="n">
        <v>434</v>
      </c>
      <c r="G196" s="6" t="n">
        <v>0.00391018828772346</v>
      </c>
      <c r="H196" s="6" t="n">
        <v>0.00229637109589185</v>
      </c>
      <c r="I196" s="7" t="n">
        <v>0.0886114063734021</v>
      </c>
      <c r="J196" s="6" t="n">
        <f aca="false">EXP(G196)</f>
        <v>1.00391784304788</v>
      </c>
      <c r="K196" s="6" t="n">
        <f aca="false">EXP(G196-1.96*H196)</f>
        <v>0.999409475368119</v>
      </c>
      <c r="L196" s="6" t="n">
        <f aca="false">EXP(G196+1.96*H196)</f>
        <v>1.0084465481165</v>
      </c>
      <c r="M196" s="5" t="s">
        <v>78</v>
      </c>
      <c r="N196" s="5"/>
    </row>
    <row r="197" customFormat="false" ht="15" hidden="false" customHeight="true" outlineLevel="0" collapsed="false">
      <c r="A197" s="5" t="s">
        <v>127</v>
      </c>
      <c r="B197" s="5" t="s">
        <v>128</v>
      </c>
      <c r="C197" s="5" t="s">
        <v>83</v>
      </c>
      <c r="D197" s="5" t="s">
        <v>84</v>
      </c>
      <c r="E197" s="5" t="s">
        <v>121</v>
      </c>
      <c r="F197" s="5" t="n">
        <v>434</v>
      </c>
      <c r="G197" s="6" t="n">
        <v>0.00367485960398382</v>
      </c>
      <c r="H197" s="6" t="n">
        <v>0.00363251245588675</v>
      </c>
      <c r="I197" s="7" t="n">
        <v>0.312267971500263</v>
      </c>
      <c r="J197" s="6" t="n">
        <f aca="false">EXP(G197)</f>
        <v>1.00368162017939</v>
      </c>
      <c r="K197" s="6" t="n">
        <f aca="false">EXP(G197-1.96*H197)</f>
        <v>0.996561061929665</v>
      </c>
      <c r="L197" s="6" t="n">
        <f aca="false">EXP(G197+1.96*H197)</f>
        <v>1.01085305574283</v>
      </c>
      <c r="M197" s="5" t="s">
        <v>78</v>
      </c>
      <c r="N197" s="5"/>
    </row>
    <row r="198" customFormat="false" ht="15" hidden="false" customHeight="true" outlineLevel="0" collapsed="false">
      <c r="A198" s="5" t="s">
        <v>127</v>
      </c>
      <c r="B198" s="5" t="s">
        <v>128</v>
      </c>
      <c r="C198" s="5" t="s">
        <v>83</v>
      </c>
      <c r="D198" s="5" t="s">
        <v>84</v>
      </c>
      <c r="E198" s="5" t="s">
        <v>122</v>
      </c>
      <c r="F198" s="5" t="n">
        <v>434</v>
      </c>
      <c r="G198" s="6" t="n">
        <v>0.00409953891624421</v>
      </c>
      <c r="H198" s="6" t="n">
        <v>0.136415626561689</v>
      </c>
      <c r="I198" s="7" t="n">
        <v>0.9760257192211</v>
      </c>
      <c r="J198" s="6" t="n">
        <f aca="false">EXP(G198)</f>
        <v>1.00410795352064</v>
      </c>
      <c r="K198" s="6" t="s">
        <v>81</v>
      </c>
      <c r="L198" s="6" t="s">
        <v>81</v>
      </c>
      <c r="M198" s="5" t="s">
        <v>78</v>
      </c>
      <c r="N198" s="5" t="s">
        <v>123</v>
      </c>
    </row>
    <row r="199" customFormat="false" ht="15" hidden="false" customHeight="true" outlineLevel="0" collapsed="false">
      <c r="A199" s="5" t="s">
        <v>127</v>
      </c>
      <c r="B199" s="5" t="s">
        <v>128</v>
      </c>
      <c r="C199" s="5" t="s">
        <v>83</v>
      </c>
      <c r="D199" s="5" t="s">
        <v>84</v>
      </c>
      <c r="E199" s="5" t="s">
        <v>124</v>
      </c>
      <c r="F199" s="5" t="n">
        <v>432</v>
      </c>
      <c r="G199" s="6" t="n">
        <v>0.0740740740740742</v>
      </c>
      <c r="H199" s="6"/>
      <c r="I199" s="7" t="n">
        <v>0.135740992475617</v>
      </c>
      <c r="J199" s="6" t="n">
        <f aca="false">EXP(G199)</f>
        <v>1.07688657191757</v>
      </c>
      <c r="K199" s="6" t="s">
        <v>81</v>
      </c>
      <c r="L199" s="6" t="s">
        <v>81</v>
      </c>
      <c r="M199" s="5" t="s">
        <v>78</v>
      </c>
      <c r="N199" s="5" t="s">
        <v>125</v>
      </c>
    </row>
    <row r="200" customFormat="false" ht="15" hidden="false" customHeight="true" outlineLevel="0" collapsed="false">
      <c r="A200" s="5" t="s">
        <v>127</v>
      </c>
      <c r="B200" s="5" t="s">
        <v>128</v>
      </c>
      <c r="C200" s="5" t="s">
        <v>86</v>
      </c>
      <c r="D200" s="5" t="s">
        <v>87</v>
      </c>
      <c r="E200" s="5" t="s">
        <v>100</v>
      </c>
      <c r="F200" s="5" t="n">
        <v>438</v>
      </c>
      <c r="G200" s="6" t="n">
        <v>-0.00115033939200645</v>
      </c>
      <c r="H200" s="6" t="n">
        <v>0.00146266749708912</v>
      </c>
      <c r="I200" s="7" t="n">
        <v>0.431594075516098</v>
      </c>
      <c r="J200" s="6" t="n">
        <f aca="false">EXP(G200)</f>
        <v>0.998850321994721</v>
      </c>
      <c r="K200" s="6" t="n">
        <f aca="false">EXP(G200-1.96*H200)</f>
        <v>0.995990890338053</v>
      </c>
      <c r="L200" s="6" t="n">
        <f aca="false">EXP(G200+1.96*H200)</f>
        <v>1.00171796291262</v>
      </c>
      <c r="M200" s="5" t="s">
        <v>78</v>
      </c>
      <c r="N200" s="5"/>
    </row>
    <row r="201" customFormat="false" ht="15" hidden="false" customHeight="true" outlineLevel="0" collapsed="false">
      <c r="A201" s="5" t="s">
        <v>127</v>
      </c>
      <c r="B201" s="5" t="s">
        <v>128</v>
      </c>
      <c r="C201" s="5" t="s">
        <v>86</v>
      </c>
      <c r="D201" s="5" t="s">
        <v>87</v>
      </c>
      <c r="E201" s="5" t="s">
        <v>101</v>
      </c>
      <c r="F201" s="5" t="n">
        <v>438</v>
      </c>
      <c r="G201" s="6" t="n">
        <v>-0.00115033939200645</v>
      </c>
      <c r="H201" s="6" t="n">
        <v>0.00146266749708912</v>
      </c>
      <c r="I201" s="7" t="n">
        <v>0.431594075516098</v>
      </c>
      <c r="J201" s="6" t="n">
        <f aca="false">EXP(G201)</f>
        <v>0.998850321994721</v>
      </c>
      <c r="K201" s="6" t="n">
        <f aca="false">EXP(G201-1.96*H201)</f>
        <v>0.995990890338053</v>
      </c>
      <c r="L201" s="6" t="n">
        <f aca="false">EXP(G201+1.96*H201)</f>
        <v>1.00171796291262</v>
      </c>
      <c r="M201" s="5" t="s">
        <v>78</v>
      </c>
      <c r="N201" s="5" t="s">
        <v>102</v>
      </c>
    </row>
    <row r="202" customFormat="false" ht="15" hidden="false" customHeight="true" outlineLevel="0" collapsed="false">
      <c r="A202" s="5" t="s">
        <v>127</v>
      </c>
      <c r="B202" s="5" t="s">
        <v>128</v>
      </c>
      <c r="C202" s="5" t="s">
        <v>86</v>
      </c>
      <c r="D202" s="5" t="s">
        <v>87</v>
      </c>
      <c r="E202" s="5" t="s">
        <v>103</v>
      </c>
      <c r="F202" s="5" t="n">
        <v>438</v>
      </c>
      <c r="G202" s="6" t="n">
        <v>-0.00115033939200645</v>
      </c>
      <c r="H202" s="6" t="n">
        <v>0.00117251564767065</v>
      </c>
      <c r="I202" s="7" t="n">
        <v>0.326550037103025</v>
      </c>
      <c r="J202" s="6" t="n">
        <f aca="false">EXP(G202)</f>
        <v>0.998850321994721</v>
      </c>
      <c r="K202" s="6" t="n">
        <f aca="false">EXP(G202-1.96*H202)</f>
        <v>0.996557469082493</v>
      </c>
      <c r="L202" s="6" t="n">
        <f aca="false">EXP(G202+1.96*H202)</f>
        <v>1.00114845024193</v>
      </c>
      <c r="M202" s="5" t="s">
        <v>78</v>
      </c>
      <c r="N202" s="5" t="s">
        <v>104</v>
      </c>
    </row>
    <row r="203" customFormat="false" ht="15" hidden="false" customHeight="true" outlineLevel="0" collapsed="false">
      <c r="A203" s="5" t="s">
        <v>127</v>
      </c>
      <c r="B203" s="5" t="s">
        <v>128</v>
      </c>
      <c r="C203" s="5" t="s">
        <v>86</v>
      </c>
      <c r="D203" s="5" t="s">
        <v>87</v>
      </c>
      <c r="E203" s="5" t="s">
        <v>105</v>
      </c>
      <c r="F203" s="5" t="n">
        <v>438</v>
      </c>
      <c r="G203" s="6" t="n">
        <v>-0.00115031035519968</v>
      </c>
      <c r="H203" s="6" t="n">
        <v>0.00146267035075623</v>
      </c>
      <c r="I203" s="7" t="n">
        <v>0.431606600220504</v>
      </c>
      <c r="J203" s="6" t="n">
        <f aca="false">EXP(G203)</f>
        <v>0.998850350998146</v>
      </c>
      <c r="K203" s="6" t="n">
        <f aca="false">EXP(G203-1.96*H203)</f>
        <v>0.995990913687684</v>
      </c>
      <c r="L203" s="6" t="n">
        <f aca="false">EXP(G203+1.96*H203)</f>
        <v>1.00171799760211</v>
      </c>
      <c r="M203" s="5" t="s">
        <v>78</v>
      </c>
      <c r="N203" s="5" t="s">
        <v>106</v>
      </c>
    </row>
    <row r="204" customFormat="false" ht="15" hidden="false" customHeight="true" outlineLevel="0" collapsed="false">
      <c r="A204" s="5" t="s">
        <v>127</v>
      </c>
      <c r="B204" s="5" t="s">
        <v>128</v>
      </c>
      <c r="C204" s="5" t="s">
        <v>86</v>
      </c>
      <c r="D204" s="5" t="s">
        <v>87</v>
      </c>
      <c r="E204" s="5" t="s">
        <v>107</v>
      </c>
      <c r="F204" s="5" t="n">
        <v>438</v>
      </c>
      <c r="G204" s="6" t="n">
        <v>-0.0011633741663829</v>
      </c>
      <c r="H204" s="6" t="n">
        <v>0.00118465363959109</v>
      </c>
      <c r="I204" s="7" t="n">
        <v>0.326081429100256</v>
      </c>
      <c r="J204" s="6" t="n">
        <f aca="false">EXP(G204)</f>
        <v>0.998837302290993</v>
      </c>
      <c r="K204" s="6" t="n">
        <f aca="false">EXP(G204-1.96*H204)</f>
        <v>0.996520771291682</v>
      </c>
      <c r="L204" s="6" t="n">
        <f aca="false">EXP(G204+1.96*H204)</f>
        <v>1.001159218342</v>
      </c>
      <c r="M204" s="5" t="s">
        <v>78</v>
      </c>
      <c r="N204" s="5"/>
    </row>
    <row r="205" customFormat="false" ht="15" hidden="false" customHeight="true" outlineLevel="0" collapsed="false">
      <c r="A205" s="5" t="s">
        <v>127</v>
      </c>
      <c r="B205" s="5" t="s">
        <v>128</v>
      </c>
      <c r="C205" s="5" t="s">
        <v>86</v>
      </c>
      <c r="D205" s="5" t="s">
        <v>87</v>
      </c>
      <c r="E205" s="5" t="s">
        <v>108</v>
      </c>
      <c r="F205" s="5" t="n">
        <v>438</v>
      </c>
      <c r="G205" s="6" t="n">
        <v>-0.00545273660398826</v>
      </c>
      <c r="H205" s="6" t="n">
        <v>0.0036034019341102</v>
      </c>
      <c r="I205" s="7" t="n">
        <v>0.130948530487653</v>
      </c>
      <c r="J205" s="6" t="n">
        <f aca="false">EXP(G205)</f>
        <v>0.994562102580608</v>
      </c>
      <c r="K205" s="6" t="n">
        <f aca="false">EXP(G205-1.96*H205)</f>
        <v>0.987562587572677</v>
      </c>
      <c r="L205" s="6" t="n">
        <f aca="false">EXP(G205+1.96*H205)</f>
        <v>1.00161122782182</v>
      </c>
      <c r="M205" s="5" t="s">
        <v>78</v>
      </c>
      <c r="N205" s="5"/>
    </row>
    <row r="206" customFormat="false" ht="15" hidden="false" customHeight="true" outlineLevel="0" collapsed="false">
      <c r="A206" s="5" t="s">
        <v>127</v>
      </c>
      <c r="B206" s="5" t="s">
        <v>128</v>
      </c>
      <c r="C206" s="5" t="s">
        <v>86</v>
      </c>
      <c r="D206" s="5" t="s">
        <v>87</v>
      </c>
      <c r="E206" s="5" t="s">
        <v>109</v>
      </c>
      <c r="F206" s="5" t="n">
        <v>438</v>
      </c>
      <c r="G206" s="6" t="n">
        <v>-0.00270097620339087</v>
      </c>
      <c r="H206" s="6" t="n">
        <v>0.00239085944060958</v>
      </c>
      <c r="I206" s="7" t="n">
        <v>0.115</v>
      </c>
      <c r="J206" s="6" t="n">
        <f aca="false">EXP(G206)</f>
        <v>0.997302668150992</v>
      </c>
      <c r="K206" s="6" t="n">
        <f aca="false">EXP(G206-1.96*H206)</f>
        <v>0.992640156566173</v>
      </c>
      <c r="L206" s="6" t="n">
        <f aca="false">EXP(G206+1.96*H206)</f>
        <v>1.0019870799321</v>
      </c>
      <c r="M206" s="5" t="s">
        <v>78</v>
      </c>
      <c r="N206" s="5" t="s">
        <v>110</v>
      </c>
    </row>
    <row r="207" customFormat="false" ht="15" hidden="false" customHeight="true" outlineLevel="0" collapsed="false">
      <c r="A207" s="5" t="s">
        <v>127</v>
      </c>
      <c r="B207" s="5" t="s">
        <v>128</v>
      </c>
      <c r="C207" s="5" t="s">
        <v>86</v>
      </c>
      <c r="D207" s="5" t="s">
        <v>87</v>
      </c>
      <c r="E207" s="5" t="s">
        <v>111</v>
      </c>
      <c r="F207" s="5" t="n">
        <v>438</v>
      </c>
      <c r="G207" s="6" t="n">
        <v>0.00067547538661026</v>
      </c>
      <c r="H207" s="6" t="n">
        <v>0.00192913116851964</v>
      </c>
      <c r="I207" s="7" t="n">
        <v>0.726229976557261</v>
      </c>
      <c r="J207" s="6" t="n">
        <f aca="false">EXP(G207)</f>
        <v>1.00067570357148</v>
      </c>
      <c r="K207" s="6" t="n">
        <f aca="false">EXP(G207-1.96*H207)</f>
        <v>0.996899195751041</v>
      </c>
      <c r="L207" s="6" t="n">
        <f aca="false">EXP(G207+1.96*H207)</f>
        <v>1.00446651776451</v>
      </c>
      <c r="M207" s="5" t="s">
        <v>78</v>
      </c>
      <c r="N207" s="5"/>
    </row>
    <row r="208" customFormat="false" ht="15" hidden="false" customHeight="true" outlineLevel="0" collapsed="false">
      <c r="A208" s="5" t="s">
        <v>127</v>
      </c>
      <c r="B208" s="5" t="s">
        <v>128</v>
      </c>
      <c r="C208" s="5" t="s">
        <v>86</v>
      </c>
      <c r="D208" s="5" t="s">
        <v>87</v>
      </c>
      <c r="E208" s="5" t="s">
        <v>112</v>
      </c>
      <c r="F208" s="5" t="n">
        <v>438</v>
      </c>
      <c r="G208" s="6" t="n">
        <v>-0.000584051346557261</v>
      </c>
      <c r="H208" s="6" t="n">
        <v>0.00190677966354791</v>
      </c>
      <c r="I208" s="7" t="n">
        <v>0.759374348427397</v>
      </c>
      <c r="J208" s="6" t="n">
        <f aca="false">EXP(G208)</f>
        <v>0.99941611917823</v>
      </c>
      <c r="K208" s="6" t="n">
        <f aca="false">EXP(G208-1.96*H208)</f>
        <v>0.995687984065457</v>
      </c>
      <c r="L208" s="6" t="n">
        <f aca="false">EXP(G208+1.96*H208)</f>
        <v>1.00315821347465</v>
      </c>
      <c r="M208" s="5" t="s">
        <v>78</v>
      </c>
      <c r="N208" s="5"/>
    </row>
    <row r="209" customFormat="false" ht="15" hidden="false" customHeight="true" outlineLevel="0" collapsed="false">
      <c r="A209" s="5" t="s">
        <v>127</v>
      </c>
      <c r="B209" s="5" t="s">
        <v>128</v>
      </c>
      <c r="C209" s="5" t="s">
        <v>86</v>
      </c>
      <c r="D209" s="5" t="s">
        <v>87</v>
      </c>
      <c r="E209" s="5" t="s">
        <v>113</v>
      </c>
      <c r="F209" s="5" t="n">
        <v>438</v>
      </c>
      <c r="G209" s="6" t="n">
        <v>-0.000428243828777966</v>
      </c>
      <c r="H209" s="6" t="n">
        <v>0.00204627064199154</v>
      </c>
      <c r="I209" s="7" t="n">
        <v>0.834229545967757</v>
      </c>
      <c r="J209" s="6" t="n">
        <f aca="false">EXP(G209)</f>
        <v>0.999571847854522</v>
      </c>
      <c r="K209" s="6" t="n">
        <f aca="false">EXP(G209-1.96*H209)</f>
        <v>0.995570903220322</v>
      </c>
      <c r="L209" s="6" t="n">
        <f aca="false">EXP(G209+1.96*H209)</f>
        <v>1.00358887126113</v>
      </c>
      <c r="M209" s="5" t="s">
        <v>78</v>
      </c>
      <c r="N209" s="5"/>
    </row>
    <row r="210" customFormat="false" ht="15" hidden="false" customHeight="true" outlineLevel="0" collapsed="false">
      <c r="A210" s="5" t="s">
        <v>127</v>
      </c>
      <c r="B210" s="5" t="s">
        <v>128</v>
      </c>
      <c r="C210" s="5" t="s">
        <v>86</v>
      </c>
      <c r="D210" s="5" t="s">
        <v>87</v>
      </c>
      <c r="E210" s="5" t="s">
        <v>114</v>
      </c>
      <c r="F210" s="5" t="n">
        <v>438</v>
      </c>
      <c r="G210" s="6" t="n">
        <v>-0.00457827257872251</v>
      </c>
      <c r="H210" s="6" t="n">
        <v>0.00614145024797143</v>
      </c>
      <c r="I210" s="7" t="n">
        <v>0.456387848741176</v>
      </c>
      <c r="J210" s="6" t="n">
        <f aca="false">EXP(G210)</f>
        <v>0.995432191735595</v>
      </c>
      <c r="K210" s="6" t="n">
        <f aca="false">EXP(G210-1.96*H210)</f>
        <v>0.983521761248565</v>
      </c>
      <c r="L210" s="6" t="n">
        <f aca="false">EXP(G210+1.96*H210)</f>
        <v>1.00748685731734</v>
      </c>
      <c r="M210" s="5" t="s">
        <v>78</v>
      </c>
      <c r="N210" s="5"/>
    </row>
    <row r="211" customFormat="false" ht="15" hidden="false" customHeight="true" outlineLevel="0" collapsed="false">
      <c r="A211" s="5" t="s">
        <v>127</v>
      </c>
      <c r="B211" s="5" t="s">
        <v>128</v>
      </c>
      <c r="C211" s="5" t="s">
        <v>86</v>
      </c>
      <c r="D211" s="5" t="s">
        <v>87</v>
      </c>
      <c r="E211" s="5" t="s">
        <v>115</v>
      </c>
      <c r="F211" s="5" t="n">
        <v>438</v>
      </c>
      <c r="G211" s="6" t="n">
        <v>-0.00457827257872251</v>
      </c>
      <c r="H211" s="6" t="n">
        <v>0.00616318258649018</v>
      </c>
      <c r="I211" s="7" t="n">
        <v>0.457976305508523</v>
      </c>
      <c r="J211" s="6" t="n">
        <f aca="false">EXP(G211)</f>
        <v>0.995432191735595</v>
      </c>
      <c r="K211" s="6" t="n">
        <f aca="false">EXP(G211-1.96*H211)</f>
        <v>0.983479868654189</v>
      </c>
      <c r="L211" s="6" t="n">
        <f aca="false">EXP(G211+1.96*H211)</f>
        <v>1.00752977252038</v>
      </c>
      <c r="M211" s="5" t="s">
        <v>78</v>
      </c>
      <c r="N211" s="5" t="s">
        <v>116</v>
      </c>
    </row>
    <row r="212" customFormat="false" ht="15" hidden="false" customHeight="true" outlineLevel="0" collapsed="false">
      <c r="A212" s="5" t="s">
        <v>127</v>
      </c>
      <c r="B212" s="5" t="s">
        <v>128</v>
      </c>
      <c r="C212" s="5" t="s">
        <v>86</v>
      </c>
      <c r="D212" s="5" t="s">
        <v>87</v>
      </c>
      <c r="E212" s="5" t="s">
        <v>117</v>
      </c>
      <c r="F212" s="5" t="n">
        <v>438</v>
      </c>
      <c r="G212" s="6" t="n">
        <v>-0.00162408366349074</v>
      </c>
      <c r="H212" s="6" t="n">
        <v>0.00405823096222177</v>
      </c>
      <c r="I212" s="7" t="n">
        <v>0.689208465152821</v>
      </c>
      <c r="J212" s="6" t="n">
        <f aca="false">EXP(G212)</f>
        <v>0.998377234446712</v>
      </c>
      <c r="K212" s="6" t="n">
        <f aca="false">EXP(G212-1.96*H212)</f>
        <v>0.99046750866031</v>
      </c>
      <c r="L212" s="6" t="n">
        <f aca="false">EXP(G212+1.96*H212)</f>
        <v>1.00635012612343</v>
      </c>
      <c r="M212" s="5" t="s">
        <v>78</v>
      </c>
      <c r="N212" s="5"/>
    </row>
    <row r="213" customFormat="false" ht="15" hidden="false" customHeight="true" outlineLevel="0" collapsed="false">
      <c r="A213" s="5" t="s">
        <v>127</v>
      </c>
      <c r="B213" s="5" t="s">
        <v>128</v>
      </c>
      <c r="C213" s="5" t="s">
        <v>86</v>
      </c>
      <c r="D213" s="5" t="s">
        <v>87</v>
      </c>
      <c r="E213" s="5" t="s">
        <v>118</v>
      </c>
      <c r="F213" s="5" t="n">
        <v>438</v>
      </c>
      <c r="G213" s="6" t="n">
        <v>-0.00236263089229868</v>
      </c>
      <c r="H213" s="6" t="n">
        <v>0.00392783915715452</v>
      </c>
      <c r="I213" s="7" t="n">
        <v>0.54781287465222</v>
      </c>
      <c r="J213" s="6" t="n">
        <f aca="false">EXP(G213)</f>
        <v>0.997640157923322</v>
      </c>
      <c r="K213" s="6" t="n">
        <f aca="false">EXP(G213-1.96*H213)</f>
        <v>0.989989248869426</v>
      </c>
      <c r="L213" s="6" t="n">
        <f aca="false">EXP(G213+1.96*H213)</f>
        <v>1.00535019530555</v>
      </c>
      <c r="M213" s="5" t="s">
        <v>78</v>
      </c>
      <c r="N213" s="5" t="s">
        <v>119</v>
      </c>
    </row>
    <row r="214" customFormat="false" ht="15" hidden="false" customHeight="true" outlineLevel="0" collapsed="false">
      <c r="A214" s="5" t="s">
        <v>127</v>
      </c>
      <c r="B214" s="5" t="s">
        <v>128</v>
      </c>
      <c r="C214" s="5" t="s">
        <v>86</v>
      </c>
      <c r="D214" s="5" t="s">
        <v>87</v>
      </c>
      <c r="E214" s="5" t="s">
        <v>120</v>
      </c>
      <c r="F214" s="5" t="n">
        <v>438</v>
      </c>
      <c r="G214" s="6" t="n">
        <v>-0.000676892540868996</v>
      </c>
      <c r="H214" s="6" t="n">
        <v>0.00149810554465895</v>
      </c>
      <c r="I214" s="7" t="n">
        <v>0.651389766527863</v>
      </c>
      <c r="J214" s="6" t="n">
        <f aca="false">EXP(G214)</f>
        <v>0.999323336499206</v>
      </c>
      <c r="K214" s="6" t="n">
        <f aca="false">EXP(G214-1.96*H214)</f>
        <v>0.996393340269699</v>
      </c>
      <c r="L214" s="6" t="n">
        <f aca="false">EXP(G214+1.96*H214)</f>
        <v>1.00226194868143</v>
      </c>
      <c r="M214" s="5" t="s">
        <v>78</v>
      </c>
      <c r="N214" s="5"/>
    </row>
    <row r="215" customFormat="false" ht="15" hidden="false" customHeight="true" outlineLevel="0" collapsed="false">
      <c r="A215" s="5" t="s">
        <v>127</v>
      </c>
      <c r="B215" s="5" t="s">
        <v>128</v>
      </c>
      <c r="C215" s="5" t="s">
        <v>86</v>
      </c>
      <c r="D215" s="5" t="s">
        <v>87</v>
      </c>
      <c r="E215" s="5" t="s">
        <v>121</v>
      </c>
      <c r="F215" s="5" t="n">
        <v>438</v>
      </c>
      <c r="G215" s="6" t="n">
        <v>-0.00367007581246467</v>
      </c>
      <c r="H215" s="6" t="n">
        <v>0.00234038992976695</v>
      </c>
      <c r="I215" s="7" t="n">
        <v>0.117572233188387</v>
      </c>
      <c r="J215" s="6" t="n">
        <f aca="false">EXP(G215)</f>
        <v>0.996336650684336</v>
      </c>
      <c r="K215" s="6" t="n">
        <f aca="false">EXP(G215-1.96*H215)</f>
        <v>0.991776757292856</v>
      </c>
      <c r="L215" s="6" t="n">
        <f aca="false">EXP(G215+1.96*H215)</f>
        <v>1.00091750910407</v>
      </c>
      <c r="M215" s="5" t="s">
        <v>78</v>
      </c>
      <c r="N215" s="5"/>
    </row>
    <row r="216" customFormat="false" ht="15" hidden="false" customHeight="true" outlineLevel="0" collapsed="false">
      <c r="A216" s="5" t="s">
        <v>127</v>
      </c>
      <c r="B216" s="5" t="s">
        <v>128</v>
      </c>
      <c r="C216" s="5" t="s">
        <v>86</v>
      </c>
      <c r="D216" s="5" t="s">
        <v>87</v>
      </c>
      <c r="E216" s="5" t="s">
        <v>122</v>
      </c>
      <c r="F216" s="5" t="n">
        <v>438</v>
      </c>
      <c r="G216" s="6" t="n">
        <v>-0.000996642654933665</v>
      </c>
      <c r="H216" s="6" t="n">
        <v>0.135134196441878</v>
      </c>
      <c r="I216" s="7" t="n">
        <v>0.994115489646751</v>
      </c>
      <c r="J216" s="6" t="n">
        <f aca="false">EXP(G216)</f>
        <v>0.999003853828405</v>
      </c>
      <c r="K216" s="6" t="s">
        <v>81</v>
      </c>
      <c r="L216" s="6" t="s">
        <v>81</v>
      </c>
      <c r="M216" s="5" t="s">
        <v>78</v>
      </c>
      <c r="N216" s="5" t="s">
        <v>123</v>
      </c>
    </row>
    <row r="217" customFormat="false" ht="15" hidden="false" customHeight="true" outlineLevel="0" collapsed="false">
      <c r="A217" s="5" t="s">
        <v>127</v>
      </c>
      <c r="B217" s="5" t="s">
        <v>128</v>
      </c>
      <c r="C217" s="5" t="s">
        <v>86</v>
      </c>
      <c r="D217" s="5" t="s">
        <v>87</v>
      </c>
      <c r="E217" s="5" t="s">
        <v>124</v>
      </c>
      <c r="F217" s="5" t="n">
        <v>438</v>
      </c>
      <c r="G217" s="6" t="n">
        <v>0.00913242009132431</v>
      </c>
      <c r="H217" s="6"/>
      <c r="I217" s="7" t="n">
        <v>0.88603845346882</v>
      </c>
      <c r="J217" s="6" t="n">
        <f aca="false">EXP(G217)</f>
        <v>1.00917424787235</v>
      </c>
      <c r="K217" s="6" t="s">
        <v>81</v>
      </c>
      <c r="L217" s="6" t="s">
        <v>81</v>
      </c>
      <c r="M217" s="5" t="s">
        <v>78</v>
      </c>
      <c r="N217" s="5" t="s">
        <v>125</v>
      </c>
    </row>
    <row r="218" customFormat="false" ht="15" hidden="false" customHeight="true" outlineLevel="0" collapsed="false">
      <c r="A218" s="5" t="s">
        <v>129</v>
      </c>
      <c r="B218" s="5" t="s">
        <v>130</v>
      </c>
      <c r="C218" s="5" t="s">
        <v>75</v>
      </c>
      <c r="D218" s="5" t="s">
        <v>76</v>
      </c>
      <c r="E218" s="5" t="s">
        <v>100</v>
      </c>
      <c r="F218" s="5" t="n">
        <v>392</v>
      </c>
      <c r="G218" s="6" t="n">
        <v>-0.0111044800063166</v>
      </c>
      <c r="H218" s="6" t="n">
        <v>0.00380591542650741</v>
      </c>
      <c r="I218" s="7" t="n">
        <v>0.00352635146410825</v>
      </c>
      <c r="J218" s="6" t="n">
        <f aca="false">EXP(G218)</f>
        <v>0.988956947149333</v>
      </c>
      <c r="K218" s="6" t="n">
        <f aca="false">EXP(G218-1.96*H218)</f>
        <v>0.981607176840686</v>
      </c>
      <c r="L218" s="6" t="n">
        <f aca="false">EXP(G218+1.96*H218)</f>
        <v>0.996361748762625</v>
      </c>
      <c r="M218" s="5" t="s">
        <v>78</v>
      </c>
      <c r="N218" s="5"/>
    </row>
    <row r="219" customFormat="false" ht="15" hidden="false" customHeight="true" outlineLevel="0" collapsed="false">
      <c r="A219" s="5" t="s">
        <v>129</v>
      </c>
      <c r="B219" s="5" t="s">
        <v>130</v>
      </c>
      <c r="C219" s="5" t="s">
        <v>75</v>
      </c>
      <c r="D219" s="5" t="s">
        <v>76</v>
      </c>
      <c r="E219" s="5" t="s">
        <v>101</v>
      </c>
      <c r="F219" s="5" t="n">
        <v>392</v>
      </c>
      <c r="G219" s="6" t="n">
        <v>-0.0111044800063166</v>
      </c>
      <c r="H219" s="6" t="n">
        <v>0.00380591542650741</v>
      </c>
      <c r="I219" s="7" t="n">
        <v>0.00352635146410825</v>
      </c>
      <c r="J219" s="6" t="n">
        <f aca="false">EXP(G219)</f>
        <v>0.988956947149333</v>
      </c>
      <c r="K219" s="6" t="n">
        <f aca="false">EXP(G219-1.96*H219)</f>
        <v>0.981607176840686</v>
      </c>
      <c r="L219" s="6" t="n">
        <f aca="false">EXP(G219+1.96*H219)</f>
        <v>0.996361748762625</v>
      </c>
      <c r="M219" s="5" t="s">
        <v>78</v>
      </c>
      <c r="N219" s="5" t="s">
        <v>102</v>
      </c>
    </row>
    <row r="220" customFormat="false" ht="15" hidden="false" customHeight="true" outlineLevel="0" collapsed="false">
      <c r="A220" s="5" t="s">
        <v>129</v>
      </c>
      <c r="B220" s="5" t="s">
        <v>130</v>
      </c>
      <c r="C220" s="5" t="s">
        <v>75</v>
      </c>
      <c r="D220" s="5" t="s">
        <v>76</v>
      </c>
      <c r="E220" s="5" t="s">
        <v>103</v>
      </c>
      <c r="F220" s="5" t="n">
        <v>392</v>
      </c>
      <c r="G220" s="6" t="n">
        <v>-0.0111044800063166</v>
      </c>
      <c r="H220" s="6" t="n">
        <v>0.00354980534225762</v>
      </c>
      <c r="I220" s="7" t="n">
        <v>0.00175884008298503</v>
      </c>
      <c r="J220" s="6" t="n">
        <f aca="false">EXP(G220)</f>
        <v>0.988956947149333</v>
      </c>
      <c r="K220" s="6" t="n">
        <f aca="false">EXP(G220-1.96*H220)</f>
        <v>0.982100043547559</v>
      </c>
      <c r="L220" s="6" t="n">
        <f aca="false">EXP(G220+1.96*H220)</f>
        <v>0.995861724821894</v>
      </c>
      <c r="M220" s="5" t="s">
        <v>78</v>
      </c>
      <c r="N220" s="5" t="s">
        <v>104</v>
      </c>
    </row>
    <row r="221" customFormat="false" ht="15" hidden="false" customHeight="true" outlineLevel="0" collapsed="false">
      <c r="A221" s="5" t="s">
        <v>129</v>
      </c>
      <c r="B221" s="5" t="s">
        <v>130</v>
      </c>
      <c r="C221" s="5" t="s">
        <v>75</v>
      </c>
      <c r="D221" s="5" t="s">
        <v>76</v>
      </c>
      <c r="E221" s="5" t="s">
        <v>105</v>
      </c>
      <c r="F221" s="5" t="n">
        <v>392</v>
      </c>
      <c r="G221" s="6" t="n">
        <v>-0.0111054017205659</v>
      </c>
      <c r="H221" s="6" t="n">
        <v>0.00380616998236847</v>
      </c>
      <c r="I221" s="7" t="n">
        <v>0.00352581970153625</v>
      </c>
      <c r="J221" s="6" t="n">
        <f aca="false">EXP(G221)</f>
        <v>0.988956035614043</v>
      </c>
      <c r="K221" s="6" t="n">
        <f aca="false">EXP(G221-1.96*H221)</f>
        <v>0.981605782327589</v>
      </c>
      <c r="L221" s="6" t="n">
        <f aca="false">EXP(G221+1.96*H221)</f>
        <v>0.996361327516149</v>
      </c>
      <c r="M221" s="5" t="s">
        <v>78</v>
      </c>
      <c r="N221" s="5" t="s">
        <v>106</v>
      </c>
    </row>
    <row r="222" customFormat="false" ht="15" hidden="false" customHeight="true" outlineLevel="0" collapsed="false">
      <c r="A222" s="5" t="s">
        <v>129</v>
      </c>
      <c r="B222" s="5" t="s">
        <v>130</v>
      </c>
      <c r="C222" s="5" t="s">
        <v>75</v>
      </c>
      <c r="D222" s="5" t="s">
        <v>76</v>
      </c>
      <c r="E222" s="5" t="s">
        <v>107</v>
      </c>
      <c r="F222" s="5" t="n">
        <v>392</v>
      </c>
      <c r="G222" s="6" t="n">
        <v>-0.0111577019677874</v>
      </c>
      <c r="H222" s="6" t="n">
        <v>0.00357635899313695</v>
      </c>
      <c r="I222" s="7" t="n">
        <v>0.00180943437067884</v>
      </c>
      <c r="J222" s="6" t="n">
        <f aca="false">EXP(G222)</f>
        <v>0.988904314321419</v>
      </c>
      <c r="K222" s="6" t="n">
        <f aca="false">EXP(G222-1.96*H222)</f>
        <v>0.981996666148394</v>
      </c>
      <c r="L222" s="6" t="n">
        <f aca="false">EXP(G222+1.96*H222)</f>
        <v>0.995860552886782</v>
      </c>
      <c r="M222" s="5" t="s">
        <v>78</v>
      </c>
      <c r="N222" s="5"/>
    </row>
    <row r="223" customFormat="false" ht="15" hidden="false" customHeight="true" outlineLevel="0" collapsed="false">
      <c r="A223" s="5" t="s">
        <v>129</v>
      </c>
      <c r="B223" s="5" t="s">
        <v>130</v>
      </c>
      <c r="C223" s="5" t="s">
        <v>75</v>
      </c>
      <c r="D223" s="5" t="s">
        <v>76</v>
      </c>
      <c r="E223" s="5" t="s">
        <v>108</v>
      </c>
      <c r="F223" s="5" t="n">
        <v>392</v>
      </c>
      <c r="G223" s="6" t="n">
        <v>-0.00691098566586443</v>
      </c>
      <c r="H223" s="6" t="n">
        <v>0.0094838253721458</v>
      </c>
      <c r="I223" s="7" t="n">
        <v>0.466614660988015</v>
      </c>
      <c r="J223" s="6" t="n">
        <f aca="false">EXP(G223)</f>
        <v>0.99311284027706</v>
      </c>
      <c r="K223" s="6" t="n">
        <f aca="false">EXP(G223-1.96*H223)</f>
        <v>0.974823077528319</v>
      </c>
      <c r="L223" s="6" t="n">
        <f aca="false">EXP(G223+1.96*H223)</f>
        <v>1.01174575803425</v>
      </c>
      <c r="M223" s="5" t="s">
        <v>78</v>
      </c>
      <c r="N223" s="5"/>
    </row>
    <row r="224" customFormat="false" ht="15" hidden="false" customHeight="true" outlineLevel="0" collapsed="false">
      <c r="A224" s="5" t="s">
        <v>129</v>
      </c>
      <c r="B224" s="5" t="s">
        <v>130</v>
      </c>
      <c r="C224" s="5" t="s">
        <v>75</v>
      </c>
      <c r="D224" s="5" t="s">
        <v>76</v>
      </c>
      <c r="E224" s="5" t="s">
        <v>109</v>
      </c>
      <c r="F224" s="5" t="n">
        <v>392</v>
      </c>
      <c r="G224" s="6" t="n">
        <v>-0.00256568267077355</v>
      </c>
      <c r="H224" s="6" t="n">
        <v>0.00595810680734439</v>
      </c>
      <c r="I224" s="7" t="n">
        <v>0.328</v>
      </c>
      <c r="J224" s="6" t="n">
        <f aca="false">EXP(G224)</f>
        <v>0.99743760587995</v>
      </c>
      <c r="K224" s="6" t="n">
        <f aca="false">EXP(G224-1.96*H224)</f>
        <v>0.985857387747716</v>
      </c>
      <c r="L224" s="6" t="n">
        <f aca="false">EXP(G224+1.96*H224)</f>
        <v>1.00915384921589</v>
      </c>
      <c r="M224" s="5" t="s">
        <v>78</v>
      </c>
      <c r="N224" s="5" t="s">
        <v>110</v>
      </c>
    </row>
    <row r="225" customFormat="false" ht="15" hidden="false" customHeight="true" outlineLevel="0" collapsed="false">
      <c r="A225" s="5" t="s">
        <v>129</v>
      </c>
      <c r="B225" s="5" t="s">
        <v>130</v>
      </c>
      <c r="C225" s="5" t="s">
        <v>75</v>
      </c>
      <c r="D225" s="5" t="s">
        <v>76</v>
      </c>
      <c r="E225" s="5" t="s">
        <v>111</v>
      </c>
      <c r="F225" s="5" t="n">
        <v>392</v>
      </c>
      <c r="G225" s="6" t="n">
        <v>-0.0186806063920282</v>
      </c>
      <c r="H225" s="6" t="n">
        <v>0.00574966289124612</v>
      </c>
      <c r="I225" s="7" t="n">
        <v>0.00115814901268151</v>
      </c>
      <c r="J225" s="6" t="n">
        <f aca="false">EXP(G225)</f>
        <v>0.981492794710879</v>
      </c>
      <c r="K225" s="6" t="n">
        <f aca="false">EXP(G225-1.96*H225)</f>
        <v>0.970494109776007</v>
      </c>
      <c r="L225" s="6" t="n">
        <f aca="false">EXP(G225+1.96*H225)</f>
        <v>0.992616128594238</v>
      </c>
      <c r="M225" s="5" t="s">
        <v>78</v>
      </c>
      <c r="N225" s="5"/>
    </row>
    <row r="226" customFormat="false" ht="15" hidden="false" customHeight="true" outlineLevel="0" collapsed="false">
      <c r="A226" s="5" t="s">
        <v>129</v>
      </c>
      <c r="B226" s="5" t="s">
        <v>130</v>
      </c>
      <c r="C226" s="5" t="s">
        <v>75</v>
      </c>
      <c r="D226" s="5" t="s">
        <v>76</v>
      </c>
      <c r="E226" s="5" t="s">
        <v>112</v>
      </c>
      <c r="F226" s="5" t="n">
        <v>392</v>
      </c>
      <c r="G226" s="6" t="n">
        <v>-0.00659020764573459</v>
      </c>
      <c r="H226" s="6" t="n">
        <v>0.00596563165916426</v>
      </c>
      <c r="I226" s="7" t="n">
        <v>0.269291466973576</v>
      </c>
      <c r="J226" s="6" t="n">
        <f aca="false">EXP(G226)</f>
        <v>0.993431460148123</v>
      </c>
      <c r="K226" s="6" t="n">
        <f aca="false">EXP(G226-1.96*H226)</f>
        <v>0.98188327161942</v>
      </c>
      <c r="L226" s="6" t="n">
        <f aca="false">EXP(G226+1.96*H226)</f>
        <v>1.00511546997265</v>
      </c>
      <c r="M226" s="5" t="s">
        <v>78</v>
      </c>
      <c r="N226" s="5"/>
    </row>
    <row r="227" customFormat="false" ht="15" hidden="false" customHeight="true" outlineLevel="0" collapsed="false">
      <c r="A227" s="5" t="s">
        <v>129</v>
      </c>
      <c r="B227" s="5" t="s">
        <v>130</v>
      </c>
      <c r="C227" s="5" t="s">
        <v>75</v>
      </c>
      <c r="D227" s="5" t="s">
        <v>76</v>
      </c>
      <c r="E227" s="5" t="s">
        <v>113</v>
      </c>
      <c r="F227" s="5" t="n">
        <v>392</v>
      </c>
      <c r="G227" s="6" t="n">
        <v>-0.00671106724801163</v>
      </c>
      <c r="H227" s="6" t="n">
        <v>0.00616495676065546</v>
      </c>
      <c r="I227" s="7" t="n">
        <v>0.276337808041064</v>
      </c>
      <c r="J227" s="6" t="n">
        <f aca="false">EXP(G227)</f>
        <v>0.993311401672216</v>
      </c>
      <c r="K227" s="6" t="n">
        <f aca="false">EXP(G227-1.96*H227)</f>
        <v>0.98138113063425</v>
      </c>
      <c r="L227" s="6" t="n">
        <f aca="false">EXP(G227+1.96*H227)</f>
        <v>1.00538670440337</v>
      </c>
      <c r="M227" s="5" t="s">
        <v>78</v>
      </c>
      <c r="N227" s="5"/>
    </row>
    <row r="228" customFormat="false" ht="15" hidden="false" customHeight="true" outlineLevel="0" collapsed="false">
      <c r="A228" s="5" t="s">
        <v>129</v>
      </c>
      <c r="B228" s="5" t="s">
        <v>130</v>
      </c>
      <c r="C228" s="5" t="s">
        <v>75</v>
      </c>
      <c r="D228" s="5" t="s">
        <v>76</v>
      </c>
      <c r="E228" s="5" t="s">
        <v>114</v>
      </c>
      <c r="F228" s="5" t="n">
        <v>392</v>
      </c>
      <c r="G228" s="6" t="n">
        <v>-0.0205238937581921</v>
      </c>
      <c r="H228" s="6" t="n">
        <v>0.0166661310412461</v>
      </c>
      <c r="I228" s="7" t="n">
        <v>0.218886086903506</v>
      </c>
      <c r="J228" s="6" t="n">
        <f aca="false">EXP(G228)</f>
        <v>0.979685287831487</v>
      </c>
      <c r="K228" s="6" t="n">
        <f aca="false">EXP(G228-1.96*H228)</f>
        <v>0.948200301447131</v>
      </c>
      <c r="L228" s="6" t="n">
        <f aca="false">EXP(G228+1.96*H228)</f>
        <v>1.01221573303516</v>
      </c>
      <c r="M228" s="5" t="s">
        <v>78</v>
      </c>
      <c r="N228" s="5"/>
    </row>
    <row r="229" customFormat="false" ht="15" hidden="false" customHeight="true" outlineLevel="0" collapsed="false">
      <c r="A229" s="5" t="s">
        <v>129</v>
      </c>
      <c r="B229" s="5" t="s">
        <v>130</v>
      </c>
      <c r="C229" s="5" t="s">
        <v>75</v>
      </c>
      <c r="D229" s="5" t="s">
        <v>76</v>
      </c>
      <c r="E229" s="5" t="s">
        <v>115</v>
      </c>
      <c r="F229" s="5" t="n">
        <v>392</v>
      </c>
      <c r="G229" s="6" t="n">
        <v>-0.0205238937581921</v>
      </c>
      <c r="H229" s="6" t="n">
        <v>0.0160121024928831</v>
      </c>
      <c r="I229" s="7" t="n">
        <v>0.200681535335356</v>
      </c>
      <c r="J229" s="6" t="n">
        <f aca="false">EXP(G229)</f>
        <v>0.979685287831487</v>
      </c>
      <c r="K229" s="6" t="n">
        <f aca="false">EXP(G229-1.96*H229)</f>
        <v>0.949416574979395</v>
      </c>
      <c r="L229" s="6" t="n">
        <f aca="false">EXP(G229+1.96*H229)</f>
        <v>1.01091900909176</v>
      </c>
      <c r="M229" s="5" t="s">
        <v>78</v>
      </c>
      <c r="N229" s="5" t="s">
        <v>116</v>
      </c>
    </row>
    <row r="230" customFormat="false" ht="15" hidden="false" customHeight="true" outlineLevel="0" collapsed="false">
      <c r="A230" s="5" t="s">
        <v>129</v>
      </c>
      <c r="B230" s="5" t="s">
        <v>130</v>
      </c>
      <c r="C230" s="5" t="s">
        <v>75</v>
      </c>
      <c r="D230" s="5" t="s">
        <v>76</v>
      </c>
      <c r="E230" s="5" t="s">
        <v>117</v>
      </c>
      <c r="F230" s="5" t="n">
        <v>392</v>
      </c>
      <c r="G230" s="6" t="n">
        <v>-0.00450776531308341</v>
      </c>
      <c r="H230" s="6" t="n">
        <v>0.00949379240633144</v>
      </c>
      <c r="I230" s="7" t="n">
        <v>0.635186164110995</v>
      </c>
      <c r="J230" s="6" t="n">
        <f aca="false">EXP(G230)</f>
        <v>0.995502379411905</v>
      </c>
      <c r="K230" s="6" t="n">
        <f aca="false">EXP(G230-1.96*H230)</f>
        <v>0.977149520294277</v>
      </c>
      <c r="L230" s="6" t="n">
        <f aca="false">EXP(G230+1.96*H230)</f>
        <v>1.01419994262117</v>
      </c>
      <c r="M230" s="5" t="s">
        <v>78</v>
      </c>
      <c r="N230" s="5"/>
    </row>
    <row r="231" customFormat="false" ht="15" hidden="false" customHeight="true" outlineLevel="0" collapsed="false">
      <c r="A231" s="5" t="s">
        <v>129</v>
      </c>
      <c r="B231" s="5" t="s">
        <v>130</v>
      </c>
      <c r="C231" s="5" t="s">
        <v>75</v>
      </c>
      <c r="D231" s="5" t="s">
        <v>76</v>
      </c>
      <c r="E231" s="5" t="s">
        <v>118</v>
      </c>
      <c r="F231" s="5" t="n">
        <v>392</v>
      </c>
      <c r="G231" s="6" t="n">
        <v>-0.00450776531308341</v>
      </c>
      <c r="H231" s="6" t="n">
        <v>0.0101882337110454</v>
      </c>
      <c r="I231" s="7" t="n">
        <v>0.658409577088507</v>
      </c>
      <c r="J231" s="6" t="n">
        <f aca="false">EXP(G231)</f>
        <v>0.995502379411905</v>
      </c>
      <c r="K231" s="6" t="n">
        <f aca="false">EXP(G231-1.96*H231)</f>
        <v>0.975820421964594</v>
      </c>
      <c r="L231" s="6" t="n">
        <f aca="false">EXP(G231+1.96*H231)</f>
        <v>1.01558131507389</v>
      </c>
      <c r="M231" s="5" t="s">
        <v>78</v>
      </c>
      <c r="N231" s="5" t="s">
        <v>119</v>
      </c>
    </row>
    <row r="232" customFormat="false" ht="15" hidden="false" customHeight="true" outlineLevel="0" collapsed="false">
      <c r="A232" s="5" t="s">
        <v>129</v>
      </c>
      <c r="B232" s="5" t="s">
        <v>130</v>
      </c>
      <c r="C232" s="5" t="s">
        <v>75</v>
      </c>
      <c r="D232" s="5" t="s">
        <v>76</v>
      </c>
      <c r="E232" s="5" t="s">
        <v>120</v>
      </c>
      <c r="F232" s="5" t="n">
        <v>392</v>
      </c>
      <c r="G232" s="6" t="n">
        <v>-0.0121797279882247</v>
      </c>
      <c r="H232" s="6" t="n">
        <v>0.00398565862399653</v>
      </c>
      <c r="I232" s="7" t="n">
        <v>0.00224394754423891</v>
      </c>
      <c r="J232" s="6" t="n">
        <f aca="false">EXP(G232)</f>
        <v>0.98789414467822</v>
      </c>
      <c r="K232" s="6" t="n">
        <f aca="false">EXP(G232-1.96*H232)</f>
        <v>0.980206888492851</v>
      </c>
      <c r="L232" s="6" t="n">
        <f aca="false">EXP(G232+1.96*H232)</f>
        <v>0.995641688042096</v>
      </c>
      <c r="M232" s="5" t="s">
        <v>78</v>
      </c>
      <c r="N232" s="5"/>
    </row>
    <row r="233" customFormat="false" ht="15" hidden="false" customHeight="true" outlineLevel="0" collapsed="false">
      <c r="A233" s="5" t="s">
        <v>129</v>
      </c>
      <c r="B233" s="5" t="s">
        <v>130</v>
      </c>
      <c r="C233" s="5" t="s">
        <v>75</v>
      </c>
      <c r="D233" s="5" t="s">
        <v>76</v>
      </c>
      <c r="E233" s="5" t="s">
        <v>121</v>
      </c>
      <c r="F233" s="5" t="n">
        <v>392</v>
      </c>
      <c r="G233" s="6" t="n">
        <v>-0.0104981104904667</v>
      </c>
      <c r="H233" s="6" t="n">
        <v>0.00603920279442456</v>
      </c>
      <c r="I233" s="7" t="n">
        <v>0.082942400949814</v>
      </c>
      <c r="J233" s="6" t="n">
        <f aca="false">EXP(G233)</f>
        <v>0.989556802343145</v>
      </c>
      <c r="K233" s="6" t="n">
        <f aca="false">EXP(G233-1.96*H233)</f>
        <v>0.977912630341044</v>
      </c>
      <c r="L233" s="6" t="n">
        <f aca="false">EXP(G233+1.96*H233)</f>
        <v>1.00133962348159</v>
      </c>
      <c r="M233" s="5" t="s">
        <v>78</v>
      </c>
      <c r="N233" s="5"/>
    </row>
    <row r="234" customFormat="false" ht="15" hidden="false" customHeight="true" outlineLevel="0" collapsed="false">
      <c r="A234" s="5" t="s">
        <v>129</v>
      </c>
      <c r="B234" s="5" t="s">
        <v>130</v>
      </c>
      <c r="C234" s="5" t="s">
        <v>75</v>
      </c>
      <c r="D234" s="5" t="s">
        <v>76</v>
      </c>
      <c r="E234" s="5" t="s">
        <v>122</v>
      </c>
      <c r="F234" s="5" t="n">
        <v>392</v>
      </c>
      <c r="G234" s="6" t="n">
        <v>-0.0219911677882098</v>
      </c>
      <c r="H234" s="6" t="n">
        <v>0.269534893676048</v>
      </c>
      <c r="I234" s="7" t="n">
        <v>0.934973297048462</v>
      </c>
      <c r="J234" s="6" t="n">
        <f aca="false">EXP(G234)</f>
        <v>0.978248875114303</v>
      </c>
      <c r="K234" s="6" t="s">
        <v>81</v>
      </c>
      <c r="L234" s="6" t="s">
        <v>81</v>
      </c>
      <c r="M234" s="5" t="s">
        <v>78</v>
      </c>
      <c r="N234" s="5" t="s">
        <v>123</v>
      </c>
    </row>
    <row r="235" customFormat="false" ht="15" hidden="false" customHeight="true" outlineLevel="0" collapsed="false">
      <c r="A235" s="5" t="s">
        <v>129</v>
      </c>
      <c r="B235" s="5" t="s">
        <v>130</v>
      </c>
      <c r="C235" s="5" t="s">
        <v>75</v>
      </c>
      <c r="D235" s="5" t="s">
        <v>76</v>
      </c>
      <c r="E235" s="5" t="s">
        <v>124</v>
      </c>
      <c r="F235" s="5" t="n">
        <v>392</v>
      </c>
      <c r="G235" s="6" t="n">
        <v>-0.158163265306122</v>
      </c>
      <c r="H235" s="6"/>
      <c r="I235" s="7" t="n">
        <v>0.00202476240422492</v>
      </c>
      <c r="J235" s="6" t="n">
        <f aca="false">EXP(G235)</f>
        <v>0.853710389301749</v>
      </c>
      <c r="K235" s="6" t="s">
        <v>81</v>
      </c>
      <c r="L235" s="6" t="s">
        <v>81</v>
      </c>
      <c r="M235" s="5" t="s">
        <v>78</v>
      </c>
      <c r="N235" s="5" t="s">
        <v>125</v>
      </c>
    </row>
    <row r="236" customFormat="false" ht="15" hidden="false" customHeight="true" outlineLevel="0" collapsed="false">
      <c r="A236" s="5" t="s">
        <v>129</v>
      </c>
      <c r="B236" s="5" t="s">
        <v>130</v>
      </c>
      <c r="C236" s="5" t="s">
        <v>79</v>
      </c>
      <c r="D236" s="5" t="s">
        <v>80</v>
      </c>
      <c r="E236" s="5" t="s">
        <v>100</v>
      </c>
      <c r="F236" s="5" t="n">
        <v>446</v>
      </c>
      <c r="G236" s="6" t="n">
        <v>-0.000253529575522785</v>
      </c>
      <c r="H236" s="6" t="n">
        <v>8.58381753048718E-005</v>
      </c>
      <c r="I236" s="7" t="n">
        <v>0.00314115239940222</v>
      </c>
      <c r="J236" s="6" t="s">
        <v>81</v>
      </c>
      <c r="K236" s="6" t="s">
        <v>81</v>
      </c>
      <c r="L236" s="6" t="s">
        <v>81</v>
      </c>
      <c r="M236" s="5" t="s">
        <v>82</v>
      </c>
      <c r="N236" s="5"/>
    </row>
    <row r="237" customFormat="false" ht="15" hidden="false" customHeight="true" outlineLevel="0" collapsed="false">
      <c r="A237" s="5" t="s">
        <v>129</v>
      </c>
      <c r="B237" s="5" t="s">
        <v>130</v>
      </c>
      <c r="C237" s="5" t="s">
        <v>79</v>
      </c>
      <c r="D237" s="5" t="s">
        <v>80</v>
      </c>
      <c r="E237" s="5" t="s">
        <v>101</v>
      </c>
      <c r="F237" s="5" t="n">
        <v>446</v>
      </c>
      <c r="G237" s="6" t="n">
        <v>-0.000253529575522785</v>
      </c>
      <c r="H237" s="6" t="n">
        <v>8.58381753048718E-005</v>
      </c>
      <c r="I237" s="7" t="n">
        <v>0.00314115239940222</v>
      </c>
      <c r="J237" s="6" t="s">
        <v>81</v>
      </c>
      <c r="K237" s="6" t="s">
        <v>81</v>
      </c>
      <c r="L237" s="6" t="s">
        <v>81</v>
      </c>
      <c r="M237" s="5" t="s">
        <v>82</v>
      </c>
      <c r="N237" s="5" t="s">
        <v>102</v>
      </c>
    </row>
    <row r="238" customFormat="false" ht="15" hidden="false" customHeight="true" outlineLevel="0" collapsed="false">
      <c r="A238" s="5" t="s">
        <v>129</v>
      </c>
      <c r="B238" s="5" t="s">
        <v>130</v>
      </c>
      <c r="C238" s="5" t="s">
        <v>79</v>
      </c>
      <c r="D238" s="5" t="s">
        <v>80</v>
      </c>
      <c r="E238" s="5" t="s">
        <v>103</v>
      </c>
      <c r="F238" s="5" t="n">
        <v>446</v>
      </c>
      <c r="G238" s="6" t="n">
        <v>-0.000253529575522785</v>
      </c>
      <c r="H238" s="6" t="n">
        <v>8.45751624023266E-005</v>
      </c>
      <c r="I238" s="7" t="n">
        <v>0.00272039960532997</v>
      </c>
      <c r="J238" s="6" t="s">
        <v>81</v>
      </c>
      <c r="K238" s="6" t="s">
        <v>81</v>
      </c>
      <c r="L238" s="6" t="s">
        <v>81</v>
      </c>
      <c r="M238" s="5" t="s">
        <v>82</v>
      </c>
      <c r="N238" s="5" t="s">
        <v>104</v>
      </c>
    </row>
    <row r="239" customFormat="false" ht="15" hidden="false" customHeight="true" outlineLevel="0" collapsed="false">
      <c r="A239" s="5" t="s">
        <v>129</v>
      </c>
      <c r="B239" s="5" t="s">
        <v>130</v>
      </c>
      <c r="C239" s="5" t="s">
        <v>79</v>
      </c>
      <c r="D239" s="5" t="s">
        <v>80</v>
      </c>
      <c r="E239" s="5" t="s">
        <v>105</v>
      </c>
      <c r="F239" s="5" t="n">
        <v>446</v>
      </c>
      <c r="G239" s="6" t="n">
        <v>-0.000253528835812597</v>
      </c>
      <c r="H239" s="6" t="n">
        <v>8.5838150310235E-005</v>
      </c>
      <c r="I239" s="7" t="n">
        <v>0.00314123135026208</v>
      </c>
      <c r="J239" s="6" t="s">
        <v>81</v>
      </c>
      <c r="K239" s="6" t="s">
        <v>81</v>
      </c>
      <c r="L239" s="6" t="s">
        <v>81</v>
      </c>
      <c r="M239" s="5" t="s">
        <v>82</v>
      </c>
      <c r="N239" s="5" t="s">
        <v>106</v>
      </c>
    </row>
    <row r="240" customFormat="false" ht="15" hidden="false" customHeight="true" outlineLevel="0" collapsed="false">
      <c r="A240" s="5" t="s">
        <v>129</v>
      </c>
      <c r="B240" s="5" t="s">
        <v>130</v>
      </c>
      <c r="C240" s="5" t="s">
        <v>79</v>
      </c>
      <c r="D240" s="5" t="s">
        <v>80</v>
      </c>
      <c r="E240" s="5" t="s">
        <v>107</v>
      </c>
      <c r="F240" s="5" t="n">
        <v>446</v>
      </c>
      <c r="G240" s="6" t="n">
        <v>-0.000254286053871475</v>
      </c>
      <c r="H240" s="6" t="n">
        <v>8.51490106797851E-005</v>
      </c>
      <c r="I240" s="7" t="n">
        <v>0.00282315147601219</v>
      </c>
      <c r="J240" s="6" t="s">
        <v>81</v>
      </c>
      <c r="K240" s="6" t="s">
        <v>81</v>
      </c>
      <c r="L240" s="6" t="s">
        <v>81</v>
      </c>
      <c r="M240" s="5" t="s">
        <v>82</v>
      </c>
      <c r="N240" s="5"/>
    </row>
    <row r="241" customFormat="false" ht="15" hidden="false" customHeight="true" outlineLevel="0" collapsed="false">
      <c r="A241" s="5" t="s">
        <v>129</v>
      </c>
      <c r="B241" s="5" t="s">
        <v>130</v>
      </c>
      <c r="C241" s="5" t="s">
        <v>79</v>
      </c>
      <c r="D241" s="5" t="s">
        <v>80</v>
      </c>
      <c r="E241" s="5" t="s">
        <v>108</v>
      </c>
      <c r="F241" s="5" t="n">
        <v>446</v>
      </c>
      <c r="G241" s="6" t="n">
        <v>-0.000443107542446648</v>
      </c>
      <c r="H241" s="6" t="n">
        <v>0.000212876036368775</v>
      </c>
      <c r="I241" s="7" t="n">
        <v>0.0379578919962505</v>
      </c>
      <c r="J241" s="6" t="s">
        <v>81</v>
      </c>
      <c r="K241" s="6" t="s">
        <v>81</v>
      </c>
      <c r="L241" s="6" t="s">
        <v>81</v>
      </c>
      <c r="M241" s="5" t="s">
        <v>82</v>
      </c>
      <c r="N241" s="5"/>
    </row>
    <row r="242" customFormat="false" ht="15" hidden="false" customHeight="true" outlineLevel="0" collapsed="false">
      <c r="A242" s="5" t="s">
        <v>129</v>
      </c>
      <c r="B242" s="5" t="s">
        <v>130</v>
      </c>
      <c r="C242" s="5" t="s">
        <v>79</v>
      </c>
      <c r="D242" s="5" t="s">
        <v>80</v>
      </c>
      <c r="E242" s="5" t="s">
        <v>109</v>
      </c>
      <c r="F242" s="5" t="n">
        <v>446</v>
      </c>
      <c r="G242" s="6" t="n">
        <v>-0.000464794433038214</v>
      </c>
      <c r="H242" s="6" t="n">
        <v>0.000209423624542736</v>
      </c>
      <c r="I242" s="7" t="n">
        <v>0.012</v>
      </c>
      <c r="J242" s="6" t="s">
        <v>81</v>
      </c>
      <c r="K242" s="6" t="s">
        <v>81</v>
      </c>
      <c r="L242" s="6" t="s">
        <v>81</v>
      </c>
      <c r="M242" s="5" t="s">
        <v>82</v>
      </c>
      <c r="N242" s="5" t="s">
        <v>110</v>
      </c>
    </row>
    <row r="243" customFormat="false" ht="15" hidden="false" customHeight="true" outlineLevel="0" collapsed="false">
      <c r="A243" s="5" t="s">
        <v>129</v>
      </c>
      <c r="B243" s="5" t="s">
        <v>130</v>
      </c>
      <c r="C243" s="5" t="s">
        <v>79</v>
      </c>
      <c r="D243" s="5" t="s">
        <v>80</v>
      </c>
      <c r="E243" s="5" t="s">
        <v>111</v>
      </c>
      <c r="F243" s="5" t="n">
        <v>446</v>
      </c>
      <c r="G243" s="6" t="n">
        <v>-1.54269380205323E-005</v>
      </c>
      <c r="H243" s="6" t="n">
        <v>0.000127713662122498</v>
      </c>
      <c r="I243" s="7" t="n">
        <v>0.903854860535748</v>
      </c>
      <c r="J243" s="6" t="s">
        <v>81</v>
      </c>
      <c r="K243" s="6" t="s">
        <v>81</v>
      </c>
      <c r="L243" s="6" t="s">
        <v>81</v>
      </c>
      <c r="M243" s="5" t="s">
        <v>82</v>
      </c>
      <c r="N243" s="5"/>
    </row>
    <row r="244" customFormat="false" ht="15" hidden="false" customHeight="true" outlineLevel="0" collapsed="false">
      <c r="A244" s="5" t="s">
        <v>129</v>
      </c>
      <c r="B244" s="5" t="s">
        <v>130</v>
      </c>
      <c r="C244" s="5" t="s">
        <v>79</v>
      </c>
      <c r="D244" s="5" t="s">
        <v>80</v>
      </c>
      <c r="E244" s="5" t="s">
        <v>112</v>
      </c>
      <c r="F244" s="5" t="n">
        <v>446</v>
      </c>
      <c r="G244" s="6" t="n">
        <v>-0.000276907460463227</v>
      </c>
      <c r="H244" s="6" t="n">
        <v>0.000134819249322506</v>
      </c>
      <c r="I244" s="7" t="n">
        <v>0.0399837885942197</v>
      </c>
      <c r="J244" s="6" t="s">
        <v>81</v>
      </c>
      <c r="K244" s="6" t="s">
        <v>81</v>
      </c>
      <c r="L244" s="6" t="s">
        <v>81</v>
      </c>
      <c r="M244" s="5" t="s">
        <v>82</v>
      </c>
      <c r="N244" s="5"/>
    </row>
    <row r="245" customFormat="false" ht="15" hidden="false" customHeight="true" outlineLevel="0" collapsed="false">
      <c r="A245" s="5" t="s">
        <v>129</v>
      </c>
      <c r="B245" s="5" t="s">
        <v>130</v>
      </c>
      <c r="C245" s="5" t="s">
        <v>79</v>
      </c>
      <c r="D245" s="5" t="s">
        <v>80</v>
      </c>
      <c r="E245" s="5" t="s">
        <v>113</v>
      </c>
      <c r="F245" s="5" t="n">
        <v>446</v>
      </c>
      <c r="G245" s="6" t="n">
        <v>-0.000215854964491528</v>
      </c>
      <c r="H245" s="6" t="n">
        <v>0.000131410991021854</v>
      </c>
      <c r="I245" s="7" t="n">
        <v>0.100466869884178</v>
      </c>
      <c r="J245" s="6" t="s">
        <v>81</v>
      </c>
      <c r="K245" s="6" t="s">
        <v>81</v>
      </c>
      <c r="L245" s="6" t="s">
        <v>81</v>
      </c>
      <c r="M245" s="5" t="s">
        <v>82</v>
      </c>
      <c r="N245" s="5"/>
    </row>
    <row r="246" customFormat="false" ht="15" hidden="false" customHeight="true" outlineLevel="0" collapsed="false">
      <c r="A246" s="5" t="s">
        <v>129</v>
      </c>
      <c r="B246" s="5" t="s">
        <v>130</v>
      </c>
      <c r="C246" s="5" t="s">
        <v>79</v>
      </c>
      <c r="D246" s="5" t="s">
        <v>80</v>
      </c>
      <c r="E246" s="5" t="s">
        <v>114</v>
      </c>
      <c r="F246" s="5" t="n">
        <v>446</v>
      </c>
      <c r="G246" s="6" t="n">
        <v>0.000340356464860012</v>
      </c>
      <c r="H246" s="6" t="n">
        <v>0.000442822639489908</v>
      </c>
      <c r="I246" s="7" t="n">
        <v>0.442534510344635</v>
      </c>
      <c r="J246" s="6" t="s">
        <v>81</v>
      </c>
      <c r="K246" s="6" t="s">
        <v>81</v>
      </c>
      <c r="L246" s="6" t="s">
        <v>81</v>
      </c>
      <c r="M246" s="5" t="s">
        <v>82</v>
      </c>
      <c r="N246" s="5"/>
    </row>
    <row r="247" customFormat="false" ht="15" hidden="false" customHeight="true" outlineLevel="0" collapsed="false">
      <c r="A247" s="5" t="s">
        <v>129</v>
      </c>
      <c r="B247" s="5" t="s">
        <v>130</v>
      </c>
      <c r="C247" s="5" t="s">
        <v>79</v>
      </c>
      <c r="D247" s="5" t="s">
        <v>80</v>
      </c>
      <c r="E247" s="5" t="s">
        <v>115</v>
      </c>
      <c r="F247" s="5" t="n">
        <v>446</v>
      </c>
      <c r="G247" s="6" t="n">
        <v>0.000340356464860012</v>
      </c>
      <c r="H247" s="6" t="n">
        <v>0.000403670566262714</v>
      </c>
      <c r="I247" s="7" t="n">
        <v>0.399595272217668</v>
      </c>
      <c r="J247" s="6" t="s">
        <v>81</v>
      </c>
      <c r="K247" s="6" t="s">
        <v>81</v>
      </c>
      <c r="L247" s="6" t="s">
        <v>81</v>
      </c>
      <c r="M247" s="5" t="s">
        <v>82</v>
      </c>
      <c r="N247" s="5" t="s">
        <v>116</v>
      </c>
    </row>
    <row r="248" customFormat="false" ht="15" hidden="false" customHeight="true" outlineLevel="0" collapsed="false">
      <c r="A248" s="5" t="s">
        <v>129</v>
      </c>
      <c r="B248" s="5" t="s">
        <v>130</v>
      </c>
      <c r="C248" s="5" t="s">
        <v>79</v>
      </c>
      <c r="D248" s="5" t="s">
        <v>80</v>
      </c>
      <c r="E248" s="5" t="s">
        <v>117</v>
      </c>
      <c r="F248" s="5" t="n">
        <v>446</v>
      </c>
      <c r="G248" s="6" t="n">
        <v>-0.000124744765307355</v>
      </c>
      <c r="H248" s="6" t="n">
        <v>0.000313076871315633</v>
      </c>
      <c r="I248" s="7" t="n">
        <v>0.690491293428851</v>
      </c>
      <c r="J248" s="6" t="s">
        <v>81</v>
      </c>
      <c r="K248" s="6" t="s">
        <v>81</v>
      </c>
      <c r="L248" s="6" t="s">
        <v>81</v>
      </c>
      <c r="M248" s="5" t="s">
        <v>82</v>
      </c>
      <c r="N248" s="5"/>
    </row>
    <row r="249" customFormat="false" ht="15" hidden="false" customHeight="true" outlineLevel="0" collapsed="false">
      <c r="A249" s="5" t="s">
        <v>129</v>
      </c>
      <c r="B249" s="5" t="s">
        <v>130</v>
      </c>
      <c r="C249" s="5" t="s">
        <v>79</v>
      </c>
      <c r="D249" s="5" t="s">
        <v>80</v>
      </c>
      <c r="E249" s="5" t="s">
        <v>118</v>
      </c>
      <c r="F249" s="5" t="n">
        <v>446</v>
      </c>
      <c r="G249" s="6" t="n">
        <v>-0.000155751513985179</v>
      </c>
      <c r="H249" s="6" t="n">
        <v>0.000296193392901673</v>
      </c>
      <c r="I249" s="7" t="n">
        <v>0.599258551782274</v>
      </c>
      <c r="J249" s="6" t="s">
        <v>81</v>
      </c>
      <c r="K249" s="6" t="s">
        <v>81</v>
      </c>
      <c r="L249" s="6" t="s">
        <v>81</v>
      </c>
      <c r="M249" s="5" t="s">
        <v>82</v>
      </c>
      <c r="N249" s="5" t="s">
        <v>119</v>
      </c>
    </row>
    <row r="250" customFormat="false" ht="15" hidden="false" customHeight="true" outlineLevel="0" collapsed="false">
      <c r="A250" s="5" t="s">
        <v>129</v>
      </c>
      <c r="B250" s="5" t="s">
        <v>130</v>
      </c>
      <c r="C250" s="5" t="s">
        <v>79</v>
      </c>
      <c r="D250" s="5" t="s">
        <v>80</v>
      </c>
      <c r="E250" s="5" t="s">
        <v>120</v>
      </c>
      <c r="F250" s="5" t="n">
        <v>446</v>
      </c>
      <c r="G250" s="6" t="n">
        <v>-0.000209506605392472</v>
      </c>
      <c r="H250" s="6" t="n">
        <v>8.9406277283896E-005</v>
      </c>
      <c r="I250" s="7" t="n">
        <v>0.0191135050790319</v>
      </c>
      <c r="J250" s="6" t="s">
        <v>81</v>
      </c>
      <c r="K250" s="6" t="s">
        <v>81</v>
      </c>
      <c r="L250" s="6" t="s">
        <v>81</v>
      </c>
      <c r="M250" s="5" t="s">
        <v>82</v>
      </c>
      <c r="N250" s="5"/>
    </row>
    <row r="251" customFormat="false" ht="15" hidden="false" customHeight="true" outlineLevel="0" collapsed="false">
      <c r="A251" s="5" t="s">
        <v>129</v>
      </c>
      <c r="B251" s="5" t="s">
        <v>130</v>
      </c>
      <c r="C251" s="5" t="s">
        <v>79</v>
      </c>
      <c r="D251" s="5" t="s">
        <v>80</v>
      </c>
      <c r="E251" s="5" t="s">
        <v>121</v>
      </c>
      <c r="F251" s="5" t="n">
        <v>446</v>
      </c>
      <c r="G251" s="6" t="n">
        <v>-0.000325361273390863</v>
      </c>
      <c r="H251" s="6" t="n">
        <v>0.000137257372075066</v>
      </c>
      <c r="I251" s="7" t="n">
        <v>0.0181928734456613</v>
      </c>
      <c r="J251" s="6" t="s">
        <v>81</v>
      </c>
      <c r="K251" s="6" t="s">
        <v>81</v>
      </c>
      <c r="L251" s="6" t="s">
        <v>81</v>
      </c>
      <c r="M251" s="5" t="s">
        <v>82</v>
      </c>
      <c r="N251" s="5"/>
    </row>
    <row r="252" customFormat="false" ht="15" hidden="false" customHeight="true" outlineLevel="0" collapsed="false">
      <c r="A252" s="5" t="s">
        <v>129</v>
      </c>
      <c r="B252" s="5" t="s">
        <v>130</v>
      </c>
      <c r="C252" s="5" t="s">
        <v>79</v>
      </c>
      <c r="D252" s="5" t="s">
        <v>80</v>
      </c>
      <c r="E252" s="5" t="s">
        <v>122</v>
      </c>
      <c r="F252" s="5" t="n">
        <v>446</v>
      </c>
      <c r="G252" s="6" t="n">
        <v>-0.00021268962616322</v>
      </c>
      <c r="H252" s="6" t="n">
        <v>0.226179447824935</v>
      </c>
      <c r="I252" s="7" t="n">
        <v>0.999249703076119</v>
      </c>
      <c r="J252" s="6" t="s">
        <v>81</v>
      </c>
      <c r="K252" s="6" t="s">
        <v>81</v>
      </c>
      <c r="L252" s="6" t="s">
        <v>81</v>
      </c>
      <c r="M252" s="5" t="s">
        <v>82</v>
      </c>
      <c r="N252" s="5" t="s">
        <v>123</v>
      </c>
    </row>
    <row r="253" customFormat="false" ht="15" hidden="false" customHeight="true" outlineLevel="0" collapsed="false">
      <c r="A253" s="5" t="s">
        <v>129</v>
      </c>
      <c r="B253" s="5" t="s">
        <v>130</v>
      </c>
      <c r="C253" s="5" t="s">
        <v>79</v>
      </c>
      <c r="D253" s="5" t="s">
        <v>80</v>
      </c>
      <c r="E253" s="5" t="s">
        <v>124</v>
      </c>
      <c r="F253" s="5" t="n">
        <v>446</v>
      </c>
      <c r="G253" s="6" t="n">
        <v>-0.00448430493273544</v>
      </c>
      <c r="H253" s="6"/>
      <c r="I253" s="7" t="n">
        <v>0.962240242743037</v>
      </c>
      <c r="J253" s="6" t="s">
        <v>81</v>
      </c>
      <c r="K253" s="6" t="s">
        <v>81</v>
      </c>
      <c r="L253" s="6" t="s">
        <v>81</v>
      </c>
      <c r="M253" s="5" t="s">
        <v>82</v>
      </c>
      <c r="N253" s="5" t="s">
        <v>125</v>
      </c>
    </row>
    <row r="254" customFormat="false" ht="15" hidden="false" customHeight="true" outlineLevel="0" collapsed="false">
      <c r="A254" s="5" t="s">
        <v>129</v>
      </c>
      <c r="B254" s="5" t="s">
        <v>130</v>
      </c>
      <c r="C254" s="5" t="s">
        <v>83</v>
      </c>
      <c r="D254" s="5" t="s">
        <v>84</v>
      </c>
      <c r="E254" s="5" t="s">
        <v>100</v>
      </c>
      <c r="F254" s="5" t="n">
        <v>435</v>
      </c>
      <c r="G254" s="6" t="n">
        <v>-0.000432548957146139</v>
      </c>
      <c r="H254" s="6" t="n">
        <v>0.00395058381796071</v>
      </c>
      <c r="I254" s="7" t="n">
        <v>0.912813946298301</v>
      </c>
      <c r="J254" s="6" t="n">
        <f aca="false">EXP(G254)</f>
        <v>0.999567544578667</v>
      </c>
      <c r="K254" s="6" t="n">
        <f aca="false">EXP(G254-1.96*H254)</f>
        <v>0.991857636845594</v>
      </c>
      <c r="L254" s="6" t="n">
        <f aca="false">EXP(G254+1.96*H254)</f>
        <v>1.00733738296615</v>
      </c>
      <c r="M254" s="5" t="s">
        <v>78</v>
      </c>
      <c r="N254" s="5"/>
    </row>
    <row r="255" customFormat="false" ht="15" hidden="false" customHeight="true" outlineLevel="0" collapsed="false">
      <c r="A255" s="5" t="s">
        <v>129</v>
      </c>
      <c r="B255" s="5" t="s">
        <v>130</v>
      </c>
      <c r="C255" s="5" t="s">
        <v>83</v>
      </c>
      <c r="D255" s="5" t="s">
        <v>84</v>
      </c>
      <c r="E255" s="5" t="s">
        <v>101</v>
      </c>
      <c r="F255" s="5" t="n">
        <v>435</v>
      </c>
      <c r="G255" s="6" t="n">
        <v>-0.000432548957146139</v>
      </c>
      <c r="H255" s="6" t="n">
        <v>0.00395058381796071</v>
      </c>
      <c r="I255" s="7" t="n">
        <v>0.912813946298301</v>
      </c>
      <c r="J255" s="6" t="n">
        <f aca="false">EXP(G255)</f>
        <v>0.999567544578667</v>
      </c>
      <c r="K255" s="6" t="n">
        <f aca="false">EXP(G255-1.96*H255)</f>
        <v>0.991857636845594</v>
      </c>
      <c r="L255" s="6" t="n">
        <f aca="false">EXP(G255+1.96*H255)</f>
        <v>1.00733738296615</v>
      </c>
      <c r="M255" s="5" t="s">
        <v>78</v>
      </c>
      <c r="N255" s="5" t="s">
        <v>102</v>
      </c>
    </row>
    <row r="256" customFormat="false" ht="15" hidden="false" customHeight="true" outlineLevel="0" collapsed="false">
      <c r="A256" s="5" t="s">
        <v>129</v>
      </c>
      <c r="B256" s="5" t="s">
        <v>130</v>
      </c>
      <c r="C256" s="5" t="s">
        <v>83</v>
      </c>
      <c r="D256" s="5" t="s">
        <v>84</v>
      </c>
      <c r="E256" s="5" t="s">
        <v>103</v>
      </c>
      <c r="F256" s="5" t="n">
        <v>435</v>
      </c>
      <c r="G256" s="6" t="n">
        <v>-0.000432548957146139</v>
      </c>
      <c r="H256" s="6" t="n">
        <v>0.00361853091697545</v>
      </c>
      <c r="I256" s="7" t="n">
        <v>0.904849791158631</v>
      </c>
      <c r="J256" s="6" t="n">
        <f aca="false">EXP(G256)</f>
        <v>0.999567544578667</v>
      </c>
      <c r="K256" s="6" t="n">
        <f aca="false">EXP(G256-1.96*H256)</f>
        <v>0.992503371395602</v>
      </c>
      <c r="L256" s="6" t="n">
        <f aca="false">EXP(G256+1.96*H256)</f>
        <v>1.006681997231</v>
      </c>
      <c r="M256" s="5" t="s">
        <v>78</v>
      </c>
      <c r="N256" s="5" t="s">
        <v>104</v>
      </c>
    </row>
    <row r="257" customFormat="false" ht="15" hidden="false" customHeight="true" outlineLevel="0" collapsed="false">
      <c r="A257" s="5" t="s">
        <v>129</v>
      </c>
      <c r="B257" s="5" t="s">
        <v>130</v>
      </c>
      <c r="C257" s="5" t="s">
        <v>83</v>
      </c>
      <c r="D257" s="5" t="s">
        <v>84</v>
      </c>
      <c r="E257" s="5" t="s">
        <v>105</v>
      </c>
      <c r="F257" s="5" t="n">
        <v>435</v>
      </c>
      <c r="G257" s="6" t="n">
        <v>-0.000432548806644979</v>
      </c>
      <c r="H257" s="6" t="n">
        <v>0.00395058386639519</v>
      </c>
      <c r="I257" s="7" t="n">
        <v>0.912813977577447</v>
      </c>
      <c r="J257" s="6" t="n">
        <f aca="false">EXP(G257)</f>
        <v>0.999567544729103</v>
      </c>
      <c r="K257" s="6" t="n">
        <f aca="false">EXP(G257-1.96*H257)</f>
        <v>0.991857636900711</v>
      </c>
      <c r="L257" s="6" t="n">
        <f aca="false">EXP(G257+1.96*H257)</f>
        <v>1.00733738321338</v>
      </c>
      <c r="M257" s="5" t="s">
        <v>78</v>
      </c>
      <c r="N257" s="5" t="s">
        <v>106</v>
      </c>
    </row>
    <row r="258" customFormat="false" ht="15" hidden="false" customHeight="true" outlineLevel="0" collapsed="false">
      <c r="A258" s="5" t="s">
        <v>129</v>
      </c>
      <c r="B258" s="5" t="s">
        <v>130</v>
      </c>
      <c r="C258" s="5" t="s">
        <v>83</v>
      </c>
      <c r="D258" s="5" t="s">
        <v>84</v>
      </c>
      <c r="E258" s="5" t="s">
        <v>107</v>
      </c>
      <c r="F258" s="5" t="n">
        <v>435</v>
      </c>
      <c r="G258" s="6" t="n">
        <v>-0.000432732695059883</v>
      </c>
      <c r="H258" s="6" t="n">
        <v>0.00364652253233686</v>
      </c>
      <c r="I258" s="7" t="n">
        <v>0.905536834173551</v>
      </c>
      <c r="J258" s="6" t="n">
        <f aca="false">EXP(G258)</f>
        <v>0.999567360920229</v>
      </c>
      <c r="K258" s="6" t="n">
        <f aca="false">EXP(G258-1.96*H258)</f>
        <v>0.992448738264491</v>
      </c>
      <c r="L258" s="6" t="n">
        <f aca="false">EXP(G258+1.96*H258)</f>
        <v>1.00673704393461</v>
      </c>
      <c r="M258" s="5" t="s">
        <v>78</v>
      </c>
      <c r="N258" s="5"/>
    </row>
    <row r="259" customFormat="false" ht="15" hidden="false" customHeight="true" outlineLevel="0" collapsed="false">
      <c r="A259" s="5" t="s">
        <v>129</v>
      </c>
      <c r="B259" s="5" t="s">
        <v>130</v>
      </c>
      <c r="C259" s="5" t="s">
        <v>83</v>
      </c>
      <c r="D259" s="5" t="s">
        <v>84</v>
      </c>
      <c r="E259" s="5" t="s">
        <v>108</v>
      </c>
      <c r="F259" s="5" t="n">
        <v>435</v>
      </c>
      <c r="G259" s="6" t="n">
        <v>0.00346455568832859</v>
      </c>
      <c r="H259" s="6" t="n">
        <v>0.00977850203062331</v>
      </c>
      <c r="I259" s="7" t="n">
        <v>0.723284058843243</v>
      </c>
      <c r="J259" s="6" t="n">
        <f aca="false">EXP(G259)</f>
        <v>1.00347056419832</v>
      </c>
      <c r="K259" s="6" t="n">
        <f aca="false">EXP(G259-1.96*H259)</f>
        <v>0.984421314630389</v>
      </c>
      <c r="L259" s="6" t="n">
        <f aca="false">EXP(G259+1.96*H259)</f>
        <v>1.02288843023535</v>
      </c>
      <c r="M259" s="5" t="s">
        <v>78</v>
      </c>
      <c r="N259" s="5"/>
    </row>
    <row r="260" customFormat="false" ht="15" hidden="false" customHeight="true" outlineLevel="0" collapsed="false">
      <c r="A260" s="5" t="s">
        <v>129</v>
      </c>
      <c r="B260" s="5" t="s">
        <v>130</v>
      </c>
      <c r="C260" s="5" t="s">
        <v>83</v>
      </c>
      <c r="D260" s="5" t="s">
        <v>84</v>
      </c>
      <c r="E260" s="5" t="s">
        <v>109</v>
      </c>
      <c r="F260" s="5" t="n">
        <v>435</v>
      </c>
      <c r="G260" s="6" t="n">
        <v>0.00528371915418069</v>
      </c>
      <c r="H260" s="6" t="n">
        <v>0.00884038932800853</v>
      </c>
      <c r="I260" s="7" t="n">
        <v>0.28</v>
      </c>
      <c r="J260" s="6" t="n">
        <f aca="false">EXP(G260)</f>
        <v>1.00529770261561</v>
      </c>
      <c r="K260" s="6" t="n">
        <f aca="false">EXP(G260-1.96*H260)</f>
        <v>0.988028788077288</v>
      </c>
      <c r="L260" s="6" t="n">
        <f aca="false">EXP(G260+1.96*H260)</f>
        <v>1.02286844581817</v>
      </c>
      <c r="M260" s="5" t="s">
        <v>78</v>
      </c>
      <c r="N260" s="5" t="s">
        <v>110</v>
      </c>
    </row>
    <row r="261" customFormat="false" ht="15" hidden="false" customHeight="true" outlineLevel="0" collapsed="false">
      <c r="A261" s="5" t="s">
        <v>129</v>
      </c>
      <c r="B261" s="5" t="s">
        <v>130</v>
      </c>
      <c r="C261" s="5" t="s">
        <v>83</v>
      </c>
      <c r="D261" s="5" t="s">
        <v>84</v>
      </c>
      <c r="E261" s="5" t="s">
        <v>111</v>
      </c>
      <c r="F261" s="5" t="n">
        <v>435</v>
      </c>
      <c r="G261" s="6" t="n">
        <v>-0.00262573217531783</v>
      </c>
      <c r="H261" s="6" t="n">
        <v>0.00567005776631135</v>
      </c>
      <c r="I261" s="7" t="n">
        <v>0.643301738023698</v>
      </c>
      <c r="J261" s="6" t="n">
        <f aca="false">EXP(G261)</f>
        <v>0.997377712044218</v>
      </c>
      <c r="K261" s="6" t="n">
        <f aca="false">EXP(G261-1.96*H261)</f>
        <v>0.986354904533974</v>
      </c>
      <c r="L261" s="6" t="n">
        <f aca="false">EXP(G261+1.96*H261)</f>
        <v>1.00852370268545</v>
      </c>
      <c r="M261" s="5" t="s">
        <v>78</v>
      </c>
      <c r="N261" s="5"/>
    </row>
    <row r="262" customFormat="false" ht="15" hidden="false" customHeight="true" outlineLevel="0" collapsed="false">
      <c r="A262" s="5" t="s">
        <v>129</v>
      </c>
      <c r="B262" s="5" t="s">
        <v>130</v>
      </c>
      <c r="C262" s="5" t="s">
        <v>83</v>
      </c>
      <c r="D262" s="5" t="s">
        <v>84</v>
      </c>
      <c r="E262" s="5" t="s">
        <v>112</v>
      </c>
      <c r="F262" s="5" t="n">
        <v>435</v>
      </c>
      <c r="G262" s="6" t="n">
        <v>-0.00088283453633332</v>
      </c>
      <c r="H262" s="6" t="n">
        <v>0.00594590645443335</v>
      </c>
      <c r="I262" s="7" t="n">
        <v>0.881965780839727</v>
      </c>
      <c r="J262" s="6" t="n">
        <f aca="false">EXP(G262)</f>
        <v>0.999117555047422</v>
      </c>
      <c r="K262" s="6" t="n">
        <f aca="false">EXP(G262-1.96*H262)</f>
        <v>0.987541447251875</v>
      </c>
      <c r="L262" s="6" t="n">
        <f aca="false">EXP(G262+1.96*H262)</f>
        <v>1.01082935970113</v>
      </c>
      <c r="M262" s="5" t="s">
        <v>78</v>
      </c>
      <c r="N262" s="5"/>
    </row>
    <row r="263" customFormat="false" ht="15" hidden="false" customHeight="true" outlineLevel="0" collapsed="false">
      <c r="A263" s="5" t="s">
        <v>129</v>
      </c>
      <c r="B263" s="5" t="s">
        <v>130</v>
      </c>
      <c r="C263" s="5" t="s">
        <v>83</v>
      </c>
      <c r="D263" s="5" t="s">
        <v>84</v>
      </c>
      <c r="E263" s="5" t="s">
        <v>113</v>
      </c>
      <c r="F263" s="5" t="n">
        <v>435</v>
      </c>
      <c r="G263" s="6" t="n">
        <v>-0.00121843343398841</v>
      </c>
      <c r="H263" s="6" t="n">
        <v>0.00583998636178837</v>
      </c>
      <c r="I263" s="7" t="n">
        <v>0.834732132396246</v>
      </c>
      <c r="J263" s="6" t="n">
        <f aca="false">EXP(G263)</f>
        <v>0.998782308554643</v>
      </c>
      <c r="K263" s="6" t="n">
        <f aca="false">EXP(G263-1.96*H263)</f>
        <v>0.98741505446372</v>
      </c>
      <c r="L263" s="6" t="n">
        <f aca="false">EXP(G263+1.96*H263)</f>
        <v>1.01028042399408</v>
      </c>
      <c r="M263" s="5" t="s">
        <v>78</v>
      </c>
      <c r="N263" s="5"/>
    </row>
    <row r="264" customFormat="false" ht="15" hidden="false" customHeight="true" outlineLevel="0" collapsed="false">
      <c r="A264" s="5" t="s">
        <v>129</v>
      </c>
      <c r="B264" s="5" t="s">
        <v>130</v>
      </c>
      <c r="C264" s="5" t="s">
        <v>83</v>
      </c>
      <c r="D264" s="5" t="s">
        <v>84</v>
      </c>
      <c r="E264" s="5" t="s">
        <v>114</v>
      </c>
      <c r="F264" s="5" t="n">
        <v>435</v>
      </c>
      <c r="G264" s="6" t="n">
        <v>-0.00462350314980177</v>
      </c>
      <c r="H264" s="6" t="n">
        <v>0.018497001414033</v>
      </c>
      <c r="I264" s="7" t="n">
        <v>0.802736860488151</v>
      </c>
      <c r="J264" s="6" t="n">
        <f aca="false">EXP(G264)</f>
        <v>0.995387168787306</v>
      </c>
      <c r="K264" s="6" t="n">
        <f aca="false">EXP(G264-1.96*H264)</f>
        <v>0.959946595340493</v>
      </c>
      <c r="L264" s="6" t="n">
        <f aca="false">EXP(G264+1.96*H264)</f>
        <v>1.03213618402904</v>
      </c>
      <c r="M264" s="5" t="s">
        <v>78</v>
      </c>
      <c r="N264" s="5"/>
    </row>
    <row r="265" customFormat="false" ht="15" hidden="false" customHeight="true" outlineLevel="0" collapsed="false">
      <c r="A265" s="5" t="s">
        <v>129</v>
      </c>
      <c r="B265" s="5" t="s">
        <v>130</v>
      </c>
      <c r="C265" s="5" t="s">
        <v>83</v>
      </c>
      <c r="D265" s="5" t="s">
        <v>84</v>
      </c>
      <c r="E265" s="5" t="s">
        <v>115</v>
      </c>
      <c r="F265" s="5" t="n">
        <v>435</v>
      </c>
      <c r="G265" s="6" t="n">
        <v>-0.00462350314980177</v>
      </c>
      <c r="H265" s="6" t="n">
        <v>0.0180293914217132</v>
      </c>
      <c r="I265" s="7" t="n">
        <v>0.797730648961991</v>
      </c>
      <c r="J265" s="6" t="n">
        <f aca="false">EXP(G265)</f>
        <v>0.995387168787306</v>
      </c>
      <c r="K265" s="6" t="n">
        <f aca="false">EXP(G265-1.96*H265)</f>
        <v>0.960826804657002</v>
      </c>
      <c r="L265" s="6" t="n">
        <f aca="false">EXP(G265+1.96*H265)</f>
        <v>1.03119064849581</v>
      </c>
      <c r="M265" s="5" t="s">
        <v>78</v>
      </c>
      <c r="N265" s="5" t="s">
        <v>116</v>
      </c>
    </row>
    <row r="266" customFormat="false" ht="15" hidden="false" customHeight="true" outlineLevel="0" collapsed="false">
      <c r="A266" s="5" t="s">
        <v>129</v>
      </c>
      <c r="B266" s="5" t="s">
        <v>130</v>
      </c>
      <c r="C266" s="5" t="s">
        <v>83</v>
      </c>
      <c r="D266" s="5" t="s">
        <v>84</v>
      </c>
      <c r="E266" s="5" t="s">
        <v>117</v>
      </c>
      <c r="F266" s="5" t="n">
        <v>435</v>
      </c>
      <c r="G266" s="6" t="n">
        <v>-0.00282142418113566</v>
      </c>
      <c r="H266" s="6" t="n">
        <v>0.0128308186380414</v>
      </c>
      <c r="I266" s="7" t="n">
        <v>0.826056848416158</v>
      </c>
      <c r="J266" s="6" t="n">
        <f aca="false">EXP(G266)</f>
        <v>0.997182552295414</v>
      </c>
      <c r="K266" s="6" t="n">
        <f aca="false">EXP(G266-1.96*H266)</f>
        <v>0.972417705453595</v>
      </c>
      <c r="L266" s="6" t="n">
        <f aca="false">EXP(G266+1.96*H266)</f>
        <v>1.02257809275342</v>
      </c>
      <c r="M266" s="5" t="s">
        <v>78</v>
      </c>
      <c r="N266" s="5"/>
    </row>
    <row r="267" customFormat="false" ht="15" hidden="false" customHeight="true" outlineLevel="0" collapsed="false">
      <c r="A267" s="5" t="s">
        <v>129</v>
      </c>
      <c r="B267" s="5" t="s">
        <v>130</v>
      </c>
      <c r="C267" s="5" t="s">
        <v>83</v>
      </c>
      <c r="D267" s="5" t="s">
        <v>84</v>
      </c>
      <c r="E267" s="5" t="s">
        <v>118</v>
      </c>
      <c r="F267" s="5" t="n">
        <v>435</v>
      </c>
      <c r="G267" s="6" t="n">
        <v>-0.00282142418113566</v>
      </c>
      <c r="H267" s="6" t="n">
        <v>0.0143171079982916</v>
      </c>
      <c r="I267" s="7" t="n">
        <v>0.843867653733287</v>
      </c>
      <c r="J267" s="6" t="n">
        <f aca="false">EXP(G267)</f>
        <v>0.997182552295414</v>
      </c>
      <c r="K267" s="6" t="n">
        <f aca="false">EXP(G267-1.96*H267)</f>
        <v>0.969589051153716</v>
      </c>
      <c r="L267" s="6" t="n">
        <f aca="false">EXP(G267+1.96*H267)</f>
        <v>1.02556133592803</v>
      </c>
      <c r="M267" s="5" t="s">
        <v>78</v>
      </c>
      <c r="N267" s="5" t="s">
        <v>119</v>
      </c>
    </row>
    <row r="268" customFormat="false" ht="15" hidden="false" customHeight="true" outlineLevel="0" collapsed="false">
      <c r="A268" s="5" t="s">
        <v>129</v>
      </c>
      <c r="B268" s="5" t="s">
        <v>130</v>
      </c>
      <c r="C268" s="5" t="s">
        <v>83</v>
      </c>
      <c r="D268" s="5" t="s">
        <v>84</v>
      </c>
      <c r="E268" s="5" t="s">
        <v>120</v>
      </c>
      <c r="F268" s="5" t="n">
        <v>435</v>
      </c>
      <c r="G268" s="6" t="n">
        <v>-0.000485775416494025</v>
      </c>
      <c r="H268" s="6" t="n">
        <v>0.0039185316372525</v>
      </c>
      <c r="I268" s="7" t="n">
        <v>0.901340028637424</v>
      </c>
      <c r="J268" s="6" t="n">
        <f aca="false">EXP(G268)</f>
        <v>0.999514342553281</v>
      </c>
      <c r="K268" s="6" t="n">
        <f aca="false">EXP(G268-1.96*H268)</f>
        <v>0.99186715457349</v>
      </c>
      <c r="L268" s="6" t="n">
        <f aca="false">EXP(G268+1.96*H268)</f>
        <v>1.00722048952141</v>
      </c>
      <c r="M268" s="5" t="s">
        <v>78</v>
      </c>
      <c r="N268" s="5"/>
    </row>
    <row r="269" customFormat="false" ht="15" hidden="false" customHeight="true" outlineLevel="0" collapsed="false">
      <c r="A269" s="5" t="s">
        <v>129</v>
      </c>
      <c r="B269" s="5" t="s">
        <v>130</v>
      </c>
      <c r="C269" s="5" t="s">
        <v>83</v>
      </c>
      <c r="D269" s="5" t="s">
        <v>84</v>
      </c>
      <c r="E269" s="5" t="s">
        <v>121</v>
      </c>
      <c r="F269" s="5" t="n">
        <v>435</v>
      </c>
      <c r="G269" s="6" t="n">
        <v>0.00255835657997589</v>
      </c>
      <c r="H269" s="6" t="n">
        <v>0.00630306043052194</v>
      </c>
      <c r="I269" s="7" t="n">
        <v>0.685023065829752</v>
      </c>
      <c r="J269" s="6" t="n">
        <f aca="false">EXP(G269)</f>
        <v>1.00256163196678</v>
      </c>
      <c r="K269" s="6" t="n">
        <f aca="false">EXP(G269-1.96*H269)</f>
        <v>0.990252179162653</v>
      </c>
      <c r="L269" s="6" t="n">
        <f aca="false">EXP(G269+1.96*H269)</f>
        <v>1.01502409895408</v>
      </c>
      <c r="M269" s="5" t="s">
        <v>78</v>
      </c>
      <c r="N269" s="5"/>
    </row>
    <row r="270" customFormat="false" ht="15" hidden="false" customHeight="true" outlineLevel="0" collapsed="false">
      <c r="A270" s="5" t="s">
        <v>129</v>
      </c>
      <c r="B270" s="5" t="s">
        <v>130</v>
      </c>
      <c r="C270" s="5" t="s">
        <v>83</v>
      </c>
      <c r="D270" s="5" t="s">
        <v>84</v>
      </c>
      <c r="E270" s="5" t="s">
        <v>122</v>
      </c>
      <c r="F270" s="5" t="n">
        <v>435</v>
      </c>
      <c r="G270" s="6" t="n">
        <v>-0.0019932965832926</v>
      </c>
      <c r="H270" s="6" t="n">
        <v>0.230003768409738</v>
      </c>
      <c r="I270" s="7" t="n">
        <v>0.993085327810897</v>
      </c>
      <c r="J270" s="6" t="n">
        <f aca="false">EXP(G270)</f>
        <v>0.998008688713028</v>
      </c>
      <c r="K270" s="6" t="s">
        <v>81</v>
      </c>
      <c r="L270" s="6" t="s">
        <v>81</v>
      </c>
      <c r="M270" s="5" t="s">
        <v>78</v>
      </c>
      <c r="N270" s="5" t="s">
        <v>123</v>
      </c>
    </row>
    <row r="271" customFormat="false" ht="15" hidden="false" customHeight="true" outlineLevel="0" collapsed="false">
      <c r="A271" s="5" t="s">
        <v>129</v>
      </c>
      <c r="B271" s="5" t="s">
        <v>130</v>
      </c>
      <c r="C271" s="5" t="s">
        <v>83</v>
      </c>
      <c r="D271" s="5" t="s">
        <v>84</v>
      </c>
      <c r="E271" s="5" t="s">
        <v>124</v>
      </c>
      <c r="F271" s="5" t="n">
        <v>435</v>
      </c>
      <c r="G271" s="6" t="n">
        <v>-0.0252873563218391</v>
      </c>
      <c r="H271" s="6"/>
      <c r="I271" s="7" t="n">
        <v>0.631659600546057</v>
      </c>
      <c r="J271" s="6" t="n">
        <f aca="false">EXP(G271)</f>
        <v>0.975029690822955</v>
      </c>
      <c r="K271" s="6" t="s">
        <v>81</v>
      </c>
      <c r="L271" s="6" t="s">
        <v>81</v>
      </c>
      <c r="M271" s="5" t="s">
        <v>78</v>
      </c>
      <c r="N271" s="5" t="s">
        <v>125</v>
      </c>
    </row>
    <row r="272" customFormat="false" ht="15" hidden="false" customHeight="true" outlineLevel="0" collapsed="false">
      <c r="A272" s="5" t="s">
        <v>129</v>
      </c>
      <c r="B272" s="5" t="s">
        <v>130</v>
      </c>
      <c r="C272" s="5" t="s">
        <v>86</v>
      </c>
      <c r="D272" s="5" t="s">
        <v>87</v>
      </c>
      <c r="E272" s="5" t="s">
        <v>100</v>
      </c>
      <c r="F272" s="5" t="n">
        <v>438</v>
      </c>
      <c r="G272" s="6" t="n">
        <v>-0.00566171749521043</v>
      </c>
      <c r="H272" s="6" t="n">
        <v>0.00243674526114473</v>
      </c>
      <c r="I272" s="7" t="n">
        <v>0.0201536315460492</v>
      </c>
      <c r="J272" s="6" t="n">
        <f aca="false">EXP(G272)</f>
        <v>0.994354279822284</v>
      </c>
      <c r="K272" s="6" t="n">
        <f aca="false">EXP(G272-1.96*H272)</f>
        <v>0.989616545950279</v>
      </c>
      <c r="L272" s="6" t="n">
        <f aca="false">EXP(G272+1.96*H272)</f>
        <v>0.999114695330256</v>
      </c>
      <c r="M272" s="5" t="s">
        <v>78</v>
      </c>
      <c r="N272" s="5"/>
    </row>
    <row r="273" customFormat="false" ht="15" hidden="false" customHeight="true" outlineLevel="0" collapsed="false">
      <c r="A273" s="5" t="s">
        <v>129</v>
      </c>
      <c r="B273" s="5" t="s">
        <v>130</v>
      </c>
      <c r="C273" s="5" t="s">
        <v>86</v>
      </c>
      <c r="D273" s="5" t="s">
        <v>87</v>
      </c>
      <c r="E273" s="5" t="s">
        <v>101</v>
      </c>
      <c r="F273" s="5" t="n">
        <v>438</v>
      </c>
      <c r="G273" s="6" t="n">
        <v>-0.00566171749521043</v>
      </c>
      <c r="H273" s="6" t="n">
        <v>0.00243674526114473</v>
      </c>
      <c r="I273" s="7" t="n">
        <v>0.0201536315460492</v>
      </c>
      <c r="J273" s="6" t="n">
        <f aca="false">EXP(G273)</f>
        <v>0.994354279822284</v>
      </c>
      <c r="K273" s="6" t="n">
        <f aca="false">EXP(G273-1.96*H273)</f>
        <v>0.989616545950279</v>
      </c>
      <c r="L273" s="6" t="n">
        <f aca="false">EXP(G273+1.96*H273)</f>
        <v>0.999114695330256</v>
      </c>
      <c r="M273" s="5" t="s">
        <v>78</v>
      </c>
      <c r="N273" s="5" t="s">
        <v>102</v>
      </c>
    </row>
    <row r="274" customFormat="false" ht="15" hidden="false" customHeight="true" outlineLevel="0" collapsed="false">
      <c r="A274" s="5" t="s">
        <v>129</v>
      </c>
      <c r="B274" s="5" t="s">
        <v>130</v>
      </c>
      <c r="C274" s="5" t="s">
        <v>86</v>
      </c>
      <c r="D274" s="5" t="s">
        <v>87</v>
      </c>
      <c r="E274" s="5" t="s">
        <v>103</v>
      </c>
      <c r="F274" s="5" t="n">
        <v>438</v>
      </c>
      <c r="G274" s="6" t="n">
        <v>-0.00566171749521043</v>
      </c>
      <c r="H274" s="6" t="n">
        <v>0.00199147377297094</v>
      </c>
      <c r="I274" s="7" t="n">
        <v>0.00446940588507437</v>
      </c>
      <c r="J274" s="6" t="n">
        <f aca="false">EXP(G274)</f>
        <v>0.994354279822284</v>
      </c>
      <c r="K274" s="6" t="n">
        <f aca="false">EXP(G274-1.96*H274)</f>
        <v>0.990480593079265</v>
      </c>
      <c r="L274" s="6" t="n">
        <f aca="false">EXP(G274+1.96*H274)</f>
        <v>0.998243116230111</v>
      </c>
      <c r="M274" s="5" t="s">
        <v>78</v>
      </c>
      <c r="N274" s="5" t="s">
        <v>104</v>
      </c>
    </row>
    <row r="275" customFormat="false" ht="15" hidden="false" customHeight="true" outlineLevel="0" collapsed="false">
      <c r="A275" s="5" t="s">
        <v>129</v>
      </c>
      <c r="B275" s="5" t="s">
        <v>130</v>
      </c>
      <c r="C275" s="5" t="s">
        <v>86</v>
      </c>
      <c r="D275" s="5" t="s">
        <v>87</v>
      </c>
      <c r="E275" s="5" t="s">
        <v>105</v>
      </c>
      <c r="F275" s="5" t="n">
        <v>438</v>
      </c>
      <c r="G275" s="6" t="n">
        <v>-0.00566161132373523</v>
      </c>
      <c r="H275" s="6" t="n">
        <v>0.0024367748253235</v>
      </c>
      <c r="I275" s="7" t="n">
        <v>0.0201574826171228</v>
      </c>
      <c r="J275" s="6" t="n">
        <f aca="false">EXP(G275)</f>
        <v>0.994354385394351</v>
      </c>
      <c r="K275" s="6" t="n">
        <f aca="false">EXP(G275-1.96*H275)</f>
        <v>0.989616593675216</v>
      </c>
      <c r="L275" s="6" t="n">
        <f aca="false">EXP(G275+1.96*H275)</f>
        <v>0.999114859302241</v>
      </c>
      <c r="M275" s="5" t="s">
        <v>78</v>
      </c>
      <c r="N275" s="5" t="s">
        <v>106</v>
      </c>
    </row>
    <row r="276" customFormat="false" ht="15" hidden="false" customHeight="true" outlineLevel="0" collapsed="false">
      <c r="A276" s="5" t="s">
        <v>129</v>
      </c>
      <c r="B276" s="5" t="s">
        <v>130</v>
      </c>
      <c r="C276" s="5" t="s">
        <v>86</v>
      </c>
      <c r="D276" s="5" t="s">
        <v>87</v>
      </c>
      <c r="E276" s="5" t="s">
        <v>107</v>
      </c>
      <c r="F276" s="5" t="n">
        <v>438</v>
      </c>
      <c r="G276" s="6" t="n">
        <v>-0.005670030565902</v>
      </c>
      <c r="H276" s="6" t="n">
        <v>0.00201091364710782</v>
      </c>
      <c r="I276" s="7" t="n">
        <v>0.00480791917647424</v>
      </c>
      <c r="J276" s="6" t="n">
        <f aca="false">EXP(G276)</f>
        <v>0.994346013719222</v>
      </c>
      <c r="K276" s="6" t="n">
        <f aca="false">EXP(G276-1.96*H276)</f>
        <v>0.990434620767585</v>
      </c>
      <c r="L276" s="6" t="n">
        <f aca="false">EXP(G276+1.96*H276)</f>
        <v>0.998272853419692</v>
      </c>
      <c r="M276" s="5" t="s">
        <v>78</v>
      </c>
      <c r="N276" s="5"/>
    </row>
    <row r="277" customFormat="false" ht="15" hidden="false" customHeight="true" outlineLevel="0" collapsed="false">
      <c r="A277" s="5" t="s">
        <v>129</v>
      </c>
      <c r="B277" s="5" t="s">
        <v>130</v>
      </c>
      <c r="C277" s="5" t="s">
        <v>86</v>
      </c>
      <c r="D277" s="5" t="s">
        <v>87</v>
      </c>
      <c r="E277" s="5" t="s">
        <v>108</v>
      </c>
      <c r="F277" s="5" t="n">
        <v>438</v>
      </c>
      <c r="G277" s="6" t="n">
        <v>-0.0120713543518861</v>
      </c>
      <c r="H277" s="6" t="n">
        <v>0.00600989908999866</v>
      </c>
      <c r="I277" s="7" t="n">
        <v>0.0451979646036942</v>
      </c>
      <c r="J277" s="6" t="n">
        <f aca="false">EXP(G277)</f>
        <v>0.988001212160538</v>
      </c>
      <c r="K277" s="6" t="n">
        <f aca="false">EXP(G277-1.96*H277)</f>
        <v>0.97643142486081</v>
      </c>
      <c r="L277" s="6" t="n">
        <f aca="false">EXP(G277+1.96*H277)</f>
        <v>0.999708090478389</v>
      </c>
      <c r="M277" s="5" t="s">
        <v>78</v>
      </c>
      <c r="N277" s="5"/>
    </row>
    <row r="278" customFormat="false" ht="15" hidden="false" customHeight="true" outlineLevel="0" collapsed="false">
      <c r="A278" s="5" t="s">
        <v>129</v>
      </c>
      <c r="B278" s="5" t="s">
        <v>130</v>
      </c>
      <c r="C278" s="5" t="s">
        <v>86</v>
      </c>
      <c r="D278" s="5" t="s">
        <v>87</v>
      </c>
      <c r="E278" s="5" t="s">
        <v>109</v>
      </c>
      <c r="F278" s="5" t="n">
        <v>438</v>
      </c>
      <c r="G278" s="6" t="n">
        <v>-0.00927968143901467</v>
      </c>
      <c r="H278" s="6" t="n">
        <v>0.00433816825597</v>
      </c>
      <c r="I278" s="7" t="n">
        <v>0.01</v>
      </c>
      <c r="J278" s="6" t="n">
        <f aca="false">EXP(G278)</f>
        <v>0.990763241930449</v>
      </c>
      <c r="K278" s="6" t="n">
        <f aca="false">EXP(G278-1.96*H278)</f>
        <v>0.982374684240247</v>
      </c>
      <c r="L278" s="6" t="n">
        <f aca="false">EXP(G278+1.96*H278)</f>
        <v>0.999223430029344</v>
      </c>
      <c r="M278" s="5" t="s">
        <v>78</v>
      </c>
      <c r="N278" s="5" t="s">
        <v>110</v>
      </c>
    </row>
    <row r="279" customFormat="false" ht="15" hidden="false" customHeight="true" outlineLevel="0" collapsed="false">
      <c r="A279" s="5" t="s">
        <v>129</v>
      </c>
      <c r="B279" s="5" t="s">
        <v>130</v>
      </c>
      <c r="C279" s="5" t="s">
        <v>86</v>
      </c>
      <c r="D279" s="5" t="s">
        <v>87</v>
      </c>
      <c r="E279" s="5" t="s">
        <v>111</v>
      </c>
      <c r="F279" s="5" t="n">
        <v>438</v>
      </c>
      <c r="G279" s="6" t="n">
        <v>-0.00471941864035852</v>
      </c>
      <c r="H279" s="6" t="n">
        <v>0.0033243936699848</v>
      </c>
      <c r="I279" s="7" t="n">
        <v>0.155714580877755</v>
      </c>
      <c r="J279" s="6" t="n">
        <f aca="false">EXP(G279)</f>
        <v>0.995291700317244</v>
      </c>
      <c r="K279" s="6" t="n">
        <f aca="false">EXP(G279-1.96*H279)</f>
        <v>0.988827649256839</v>
      </c>
      <c r="L279" s="6" t="n">
        <f aca="false">EXP(G279+1.96*H279)</f>
        <v>1.00179800743323</v>
      </c>
      <c r="M279" s="5" t="s">
        <v>78</v>
      </c>
      <c r="N279" s="5"/>
    </row>
    <row r="280" customFormat="false" ht="15" hidden="false" customHeight="true" outlineLevel="0" collapsed="false">
      <c r="A280" s="5" t="s">
        <v>129</v>
      </c>
      <c r="B280" s="5" t="s">
        <v>130</v>
      </c>
      <c r="C280" s="5" t="s">
        <v>86</v>
      </c>
      <c r="D280" s="5" t="s">
        <v>87</v>
      </c>
      <c r="E280" s="5" t="s">
        <v>112</v>
      </c>
      <c r="F280" s="5" t="n">
        <v>438</v>
      </c>
      <c r="G280" s="6" t="n">
        <v>-0.00474166653261005</v>
      </c>
      <c r="H280" s="6" t="n">
        <v>0.0032765414680493</v>
      </c>
      <c r="I280" s="7" t="n">
        <v>0.147853246295074</v>
      </c>
      <c r="J280" s="6" t="n">
        <f aca="false">EXP(G280)</f>
        <v>0.995269557421054</v>
      </c>
      <c r="K280" s="6" t="n">
        <f aca="false">EXP(G280-1.96*H280)</f>
        <v>0.98889839491396</v>
      </c>
      <c r="L280" s="6" t="n">
        <f aca="false">EXP(G280+1.96*H280)</f>
        <v>1.00168176733191</v>
      </c>
      <c r="M280" s="5" t="s">
        <v>78</v>
      </c>
      <c r="N280" s="5"/>
    </row>
    <row r="281" customFormat="false" ht="15" hidden="false" customHeight="true" outlineLevel="0" collapsed="false">
      <c r="A281" s="5" t="s">
        <v>129</v>
      </c>
      <c r="B281" s="5" t="s">
        <v>130</v>
      </c>
      <c r="C281" s="5" t="s">
        <v>86</v>
      </c>
      <c r="D281" s="5" t="s">
        <v>87</v>
      </c>
      <c r="E281" s="5" t="s">
        <v>113</v>
      </c>
      <c r="F281" s="5" t="n">
        <v>438</v>
      </c>
      <c r="G281" s="6" t="n">
        <v>-0.00382415116589492</v>
      </c>
      <c r="H281" s="6" t="n">
        <v>0.00342721659749369</v>
      </c>
      <c r="I281" s="7" t="n">
        <v>0.264499897828936</v>
      </c>
      <c r="J281" s="6" t="n">
        <f aca="false">EXP(G281)</f>
        <v>0.996183151588264</v>
      </c>
      <c r="K281" s="6" t="n">
        <f aca="false">EXP(G281-1.96*H281)</f>
        <v>0.989513871148212</v>
      </c>
      <c r="L281" s="6" t="n">
        <f aca="false">EXP(G281+1.96*H281)</f>
        <v>1.00289738268832</v>
      </c>
      <c r="M281" s="5" t="s">
        <v>78</v>
      </c>
      <c r="N281" s="5"/>
    </row>
    <row r="282" customFormat="false" ht="15" hidden="false" customHeight="true" outlineLevel="0" collapsed="false">
      <c r="A282" s="5" t="s">
        <v>129</v>
      </c>
      <c r="B282" s="5" t="s">
        <v>130</v>
      </c>
      <c r="C282" s="5" t="s">
        <v>86</v>
      </c>
      <c r="D282" s="5" t="s">
        <v>87</v>
      </c>
      <c r="E282" s="5" t="s">
        <v>114</v>
      </c>
      <c r="F282" s="5" t="n">
        <v>438</v>
      </c>
      <c r="G282" s="6" t="n">
        <v>-0.00704615373061836</v>
      </c>
      <c r="H282" s="6" t="n">
        <v>0.0105042147393245</v>
      </c>
      <c r="I282" s="7" t="n">
        <v>0.502706773405623</v>
      </c>
      <c r="J282" s="6" t="n">
        <f aca="false">EXP(G282)</f>
        <v>0.992978612208236</v>
      </c>
      <c r="K282" s="6" t="n">
        <f aca="false">EXP(G282-1.96*H282)</f>
        <v>0.972743922761199</v>
      </c>
      <c r="L282" s="6" t="n">
        <f aca="false">EXP(G282+1.96*H282)</f>
        <v>1.01363421680821</v>
      </c>
      <c r="M282" s="5" t="s">
        <v>78</v>
      </c>
      <c r="N282" s="5"/>
    </row>
    <row r="283" customFormat="false" ht="15" hidden="false" customHeight="true" outlineLevel="0" collapsed="false">
      <c r="A283" s="5" t="s">
        <v>129</v>
      </c>
      <c r="B283" s="5" t="s">
        <v>130</v>
      </c>
      <c r="C283" s="5" t="s">
        <v>86</v>
      </c>
      <c r="D283" s="5" t="s">
        <v>87</v>
      </c>
      <c r="E283" s="5" t="s">
        <v>115</v>
      </c>
      <c r="F283" s="5" t="n">
        <v>438</v>
      </c>
      <c r="G283" s="6" t="n">
        <v>-0.00704615373061836</v>
      </c>
      <c r="H283" s="6" t="n">
        <v>0.0113224423023387</v>
      </c>
      <c r="I283" s="7" t="n">
        <v>0.534057697998077</v>
      </c>
      <c r="J283" s="6" t="n">
        <f aca="false">EXP(G283)</f>
        <v>0.992978612208236</v>
      </c>
      <c r="K283" s="6" t="n">
        <f aca="false">EXP(G283-1.96*H283)</f>
        <v>0.971185158267736</v>
      </c>
      <c r="L283" s="6" t="n">
        <f aca="false">EXP(G283+1.96*H283)</f>
        <v>1.01526111257888</v>
      </c>
      <c r="M283" s="5" t="s">
        <v>78</v>
      </c>
      <c r="N283" s="5" t="s">
        <v>116</v>
      </c>
    </row>
    <row r="284" customFormat="false" ht="15" hidden="false" customHeight="true" outlineLevel="0" collapsed="false">
      <c r="A284" s="5" t="s">
        <v>129</v>
      </c>
      <c r="B284" s="5" t="s">
        <v>130</v>
      </c>
      <c r="C284" s="5" t="s">
        <v>86</v>
      </c>
      <c r="D284" s="5" t="s">
        <v>87</v>
      </c>
      <c r="E284" s="5" t="s">
        <v>117</v>
      </c>
      <c r="F284" s="5" t="n">
        <v>438</v>
      </c>
      <c r="G284" s="6" t="n">
        <v>-0.00600703268132252</v>
      </c>
      <c r="H284" s="6" t="n">
        <v>0.00737773862982995</v>
      </c>
      <c r="I284" s="7" t="n">
        <v>0.415967787807233</v>
      </c>
      <c r="J284" s="6" t="n">
        <f aca="false">EXP(G284)</f>
        <v>0.994010973466947</v>
      </c>
      <c r="K284" s="6" t="n">
        <f aca="false">EXP(G284-1.96*H284)</f>
        <v>0.979740635110855</v>
      </c>
      <c r="L284" s="6" t="n">
        <f aca="false">EXP(G284+1.96*H284)</f>
        <v>1.00848916536049</v>
      </c>
      <c r="M284" s="5" t="s">
        <v>78</v>
      </c>
      <c r="N284" s="5"/>
    </row>
    <row r="285" customFormat="false" ht="15" hidden="false" customHeight="true" outlineLevel="0" collapsed="false">
      <c r="A285" s="5" t="s">
        <v>129</v>
      </c>
      <c r="B285" s="5" t="s">
        <v>130</v>
      </c>
      <c r="C285" s="5" t="s">
        <v>86</v>
      </c>
      <c r="D285" s="5" t="s">
        <v>87</v>
      </c>
      <c r="E285" s="5" t="s">
        <v>118</v>
      </c>
      <c r="F285" s="5" t="n">
        <v>438</v>
      </c>
      <c r="G285" s="6" t="n">
        <v>-0.00600703268132252</v>
      </c>
      <c r="H285" s="6" t="n">
        <v>0.00802803893685742</v>
      </c>
      <c r="I285" s="7" t="n">
        <v>0.454707929975622</v>
      </c>
      <c r="J285" s="6" t="n">
        <f aca="false">EXP(G285)</f>
        <v>0.994010973466947</v>
      </c>
      <c r="K285" s="6" t="n">
        <f aca="false">EXP(G285-1.96*H285)</f>
        <v>0.978492664358249</v>
      </c>
      <c r="L285" s="6" t="n">
        <f aca="false">EXP(G285+1.96*H285)</f>
        <v>1.00977539368753</v>
      </c>
      <c r="M285" s="5" t="s">
        <v>78</v>
      </c>
      <c r="N285" s="5" t="s">
        <v>119</v>
      </c>
    </row>
    <row r="286" customFormat="false" ht="15" hidden="false" customHeight="true" outlineLevel="0" collapsed="false">
      <c r="A286" s="5" t="s">
        <v>129</v>
      </c>
      <c r="B286" s="5" t="s">
        <v>130</v>
      </c>
      <c r="C286" s="5" t="s">
        <v>86</v>
      </c>
      <c r="D286" s="5" t="s">
        <v>87</v>
      </c>
      <c r="E286" s="5" t="s">
        <v>120</v>
      </c>
      <c r="F286" s="5" t="n">
        <v>438</v>
      </c>
      <c r="G286" s="6" t="n">
        <v>-0.00469795345429571</v>
      </c>
      <c r="H286" s="6" t="n">
        <v>0.00251945286230359</v>
      </c>
      <c r="I286" s="7" t="n">
        <v>0.0622273800937612</v>
      </c>
      <c r="J286" s="6" t="n">
        <f aca="false">EXP(G286)</f>
        <v>0.995313064668072</v>
      </c>
      <c r="K286" s="6" t="n">
        <f aca="false">EXP(G286-1.96*H286)</f>
        <v>0.990410197198411</v>
      </c>
      <c r="L286" s="6" t="n">
        <f aca="false">EXP(G286+1.96*H286)</f>
        <v>1.00024020299994</v>
      </c>
      <c r="M286" s="5" t="s">
        <v>78</v>
      </c>
      <c r="N286" s="5"/>
    </row>
    <row r="287" customFormat="false" ht="15" hidden="false" customHeight="true" outlineLevel="0" collapsed="false">
      <c r="A287" s="5" t="s">
        <v>129</v>
      </c>
      <c r="B287" s="5" t="s">
        <v>130</v>
      </c>
      <c r="C287" s="5" t="s">
        <v>86</v>
      </c>
      <c r="D287" s="5" t="s">
        <v>87</v>
      </c>
      <c r="E287" s="5" t="s">
        <v>121</v>
      </c>
      <c r="F287" s="5" t="n">
        <v>438</v>
      </c>
      <c r="G287" s="6" t="n">
        <v>-0.00977750787656654</v>
      </c>
      <c r="H287" s="6" t="n">
        <v>0.00385848716556079</v>
      </c>
      <c r="I287" s="7" t="n">
        <v>0.0116251117404763</v>
      </c>
      <c r="J287" s="6" t="n">
        <f aca="false">EXP(G287)</f>
        <v>0.990270136545894</v>
      </c>
      <c r="K287" s="6" t="n">
        <f aca="false">EXP(G287-1.96*H287)</f>
        <v>0.982809332333794</v>
      </c>
      <c r="L287" s="6" t="n">
        <f aca="false">EXP(G287+1.96*H287)</f>
        <v>0.997787577989306</v>
      </c>
      <c r="M287" s="5" t="s">
        <v>78</v>
      </c>
      <c r="N287" s="5"/>
    </row>
    <row r="288" customFormat="false" ht="15" hidden="false" customHeight="true" outlineLevel="0" collapsed="false">
      <c r="A288" s="5" t="s">
        <v>129</v>
      </c>
      <c r="B288" s="5" t="s">
        <v>130</v>
      </c>
      <c r="C288" s="5" t="s">
        <v>86</v>
      </c>
      <c r="D288" s="5" t="s">
        <v>87</v>
      </c>
      <c r="E288" s="5" t="s">
        <v>122</v>
      </c>
      <c r="F288" s="5" t="n">
        <v>438</v>
      </c>
      <c r="G288" s="6" t="n">
        <v>-0.00843058835691015</v>
      </c>
      <c r="H288" s="6" t="n">
        <v>0.227126020565876</v>
      </c>
      <c r="I288" s="7" t="n">
        <v>0.970390482138981</v>
      </c>
      <c r="J288" s="6" t="n">
        <f aca="false">EXP(G288)</f>
        <v>0.99160484939615</v>
      </c>
      <c r="K288" s="6" t="s">
        <v>81</v>
      </c>
      <c r="L288" s="6" t="s">
        <v>81</v>
      </c>
      <c r="M288" s="5" t="s">
        <v>78</v>
      </c>
      <c r="N288" s="5" t="s">
        <v>123</v>
      </c>
    </row>
    <row r="289" customFormat="false" ht="15" hidden="false" customHeight="true" outlineLevel="0" collapsed="false">
      <c r="A289" s="5" t="s">
        <v>129</v>
      </c>
      <c r="B289" s="5" t="s">
        <v>130</v>
      </c>
      <c r="C289" s="5" t="s">
        <v>86</v>
      </c>
      <c r="D289" s="5" t="s">
        <v>87</v>
      </c>
      <c r="E289" s="5" t="s">
        <v>124</v>
      </c>
      <c r="F289" s="5" t="n">
        <v>438</v>
      </c>
      <c r="G289" s="6" t="n">
        <v>-0.0547945205479452</v>
      </c>
      <c r="H289" s="6"/>
      <c r="I289" s="7" t="n">
        <v>0.271756993647415</v>
      </c>
      <c r="J289" s="6" t="n">
        <f aca="false">EXP(G289)</f>
        <v>0.946679651185588</v>
      </c>
      <c r="K289" s="6" t="s">
        <v>81</v>
      </c>
      <c r="L289" s="6" t="s">
        <v>81</v>
      </c>
      <c r="M289" s="5" t="s">
        <v>78</v>
      </c>
      <c r="N289" s="5" t="s">
        <v>125</v>
      </c>
    </row>
    <row r="290" customFormat="false" ht="15" hidden="false" customHeight="true" outlineLevel="0" collapsed="false">
      <c r="A290" s="5" t="s">
        <v>131</v>
      </c>
      <c r="B290" s="5" t="s">
        <v>132</v>
      </c>
      <c r="C290" s="5" t="s">
        <v>75</v>
      </c>
      <c r="D290" s="5" t="s">
        <v>76</v>
      </c>
      <c r="E290" s="5" t="s">
        <v>100</v>
      </c>
      <c r="F290" s="5" t="n">
        <v>29</v>
      </c>
      <c r="G290" s="6" t="n">
        <v>-0.0942744415197088</v>
      </c>
      <c r="H290" s="6" t="n">
        <v>0.0620088920174563</v>
      </c>
      <c r="I290" s="7" t="n">
        <v>0.128426183274543</v>
      </c>
      <c r="J290" s="6" t="n">
        <f aca="false">EXP(G290)</f>
        <v>0.910032977133403</v>
      </c>
      <c r="K290" s="6" t="n">
        <f aca="false">EXP(G290-1.96*H290)</f>
        <v>0.805886899216972</v>
      </c>
      <c r="L290" s="6" t="n">
        <f aca="false">EXP(G290+1.96*H290)</f>
        <v>1.02763802250037</v>
      </c>
      <c r="M290" s="5" t="s">
        <v>78</v>
      </c>
      <c r="N290" s="5"/>
    </row>
    <row r="291" customFormat="false" ht="15" hidden="false" customHeight="true" outlineLevel="0" collapsed="false">
      <c r="A291" s="5" t="s">
        <v>131</v>
      </c>
      <c r="B291" s="5" t="s">
        <v>132</v>
      </c>
      <c r="C291" s="5" t="s">
        <v>75</v>
      </c>
      <c r="D291" s="5" t="s">
        <v>76</v>
      </c>
      <c r="E291" s="5" t="s">
        <v>101</v>
      </c>
      <c r="F291" s="5" t="n">
        <v>29</v>
      </c>
      <c r="G291" s="6" t="n">
        <v>-0.0942744415197088</v>
      </c>
      <c r="H291" s="6" t="n">
        <v>0.0618968635414016</v>
      </c>
      <c r="I291" s="7" t="n">
        <v>0.127736402001935</v>
      </c>
      <c r="J291" s="6" t="n">
        <f aca="false">EXP(G291)</f>
        <v>0.910032977133403</v>
      </c>
      <c r="K291" s="6" t="n">
        <f aca="false">EXP(G291-1.96*H291)</f>
        <v>0.806063871916859</v>
      </c>
      <c r="L291" s="6" t="n">
        <f aca="false">EXP(G291+1.96*H291)</f>
        <v>1.02741240281726</v>
      </c>
      <c r="M291" s="5" t="s">
        <v>78</v>
      </c>
      <c r="N291" s="5" t="s">
        <v>102</v>
      </c>
    </row>
    <row r="292" customFormat="false" ht="15" hidden="false" customHeight="true" outlineLevel="0" collapsed="false">
      <c r="A292" s="5" t="s">
        <v>131</v>
      </c>
      <c r="B292" s="5" t="s">
        <v>132</v>
      </c>
      <c r="C292" s="5" t="s">
        <v>75</v>
      </c>
      <c r="D292" s="5" t="s">
        <v>76</v>
      </c>
      <c r="E292" s="5" t="s">
        <v>103</v>
      </c>
      <c r="F292" s="5" t="n">
        <v>29</v>
      </c>
      <c r="G292" s="6" t="n">
        <v>-0.0942744415197088</v>
      </c>
      <c r="H292" s="6" t="n">
        <v>0.0620088920174563</v>
      </c>
      <c r="I292" s="7" t="n">
        <v>0.128426183274543</v>
      </c>
      <c r="J292" s="6" t="n">
        <f aca="false">EXP(G292)</f>
        <v>0.910032977133403</v>
      </c>
      <c r="K292" s="6" t="n">
        <f aca="false">EXP(G292-1.96*H292)</f>
        <v>0.805886899216972</v>
      </c>
      <c r="L292" s="6" t="n">
        <f aca="false">EXP(G292+1.96*H292)</f>
        <v>1.02763802250037</v>
      </c>
      <c r="M292" s="5" t="s">
        <v>78</v>
      </c>
      <c r="N292" s="5" t="s">
        <v>104</v>
      </c>
    </row>
    <row r="293" customFormat="false" ht="15" hidden="false" customHeight="true" outlineLevel="0" collapsed="false">
      <c r="A293" s="5" t="s">
        <v>131</v>
      </c>
      <c r="B293" s="5" t="s">
        <v>132</v>
      </c>
      <c r="C293" s="5" t="s">
        <v>75</v>
      </c>
      <c r="D293" s="5" t="s">
        <v>76</v>
      </c>
      <c r="E293" s="5" t="s">
        <v>105</v>
      </c>
      <c r="F293" s="5" t="n">
        <v>29</v>
      </c>
      <c r="G293" s="6" t="n">
        <v>-0.0942652728450818</v>
      </c>
      <c r="H293" s="6" t="n">
        <v>0.0619454041512133</v>
      </c>
      <c r="I293" s="7" t="n">
        <v>0.128072324556286</v>
      </c>
      <c r="J293" s="6" t="n">
        <f aca="false">EXP(G293)</f>
        <v>0.910041320967921</v>
      </c>
      <c r="K293" s="6" t="n">
        <f aca="false">EXP(G293-1.96*H293)</f>
        <v>0.805994576842448</v>
      </c>
      <c r="L293" s="6" t="n">
        <f aca="false">EXP(G293+1.96*H293)</f>
        <v>1.02751957601686</v>
      </c>
      <c r="M293" s="5" t="s">
        <v>78</v>
      </c>
      <c r="N293" s="5" t="s">
        <v>106</v>
      </c>
    </row>
    <row r="294" customFormat="false" ht="15" hidden="false" customHeight="true" outlineLevel="0" collapsed="false">
      <c r="A294" s="5" t="s">
        <v>131</v>
      </c>
      <c r="B294" s="5" t="s">
        <v>132</v>
      </c>
      <c r="C294" s="5" t="s">
        <v>75</v>
      </c>
      <c r="D294" s="5" t="s">
        <v>76</v>
      </c>
      <c r="E294" s="5" t="s">
        <v>107</v>
      </c>
      <c r="F294" s="5" t="n">
        <v>29</v>
      </c>
      <c r="G294" s="6" t="n">
        <v>-0.0940841087294284</v>
      </c>
      <c r="H294" s="6" t="n">
        <v>0.0621567120621287</v>
      </c>
      <c r="I294" s="7" t="n">
        <v>0.130112176831605</v>
      </c>
      <c r="J294" s="6" t="n">
        <f aca="false">EXP(G294)</f>
        <v>0.910206202733921</v>
      </c>
      <c r="K294" s="6" t="n">
        <f aca="false">EXP(G294-1.96*H294)</f>
        <v>0.805806802474416</v>
      </c>
      <c r="L294" s="6" t="n">
        <f aca="false">EXP(G294+1.96*H294)</f>
        <v>1.02813146892193</v>
      </c>
      <c r="M294" s="5" t="s">
        <v>78</v>
      </c>
      <c r="N294" s="5"/>
    </row>
    <row r="295" customFormat="false" ht="15" hidden="false" customHeight="true" outlineLevel="0" collapsed="false">
      <c r="A295" s="5" t="s">
        <v>131</v>
      </c>
      <c r="B295" s="5" t="s">
        <v>132</v>
      </c>
      <c r="C295" s="5" t="s">
        <v>75</v>
      </c>
      <c r="D295" s="5" t="s">
        <v>76</v>
      </c>
      <c r="E295" s="5" t="s">
        <v>108</v>
      </c>
      <c r="F295" s="5" t="n">
        <v>29</v>
      </c>
      <c r="G295" s="6" t="n">
        <v>-0.10012730360665</v>
      </c>
      <c r="H295" s="6" t="n">
        <v>0.0748671249201178</v>
      </c>
      <c r="I295" s="7" t="n">
        <v>0.192250212014084</v>
      </c>
      <c r="J295" s="6" t="n">
        <f aca="false">EXP(G295)</f>
        <v>0.904722236300892</v>
      </c>
      <c r="K295" s="6" t="n">
        <f aca="false">EXP(G295-1.96*H295)</f>
        <v>0.781244694925391</v>
      </c>
      <c r="L295" s="6" t="n">
        <f aca="false">EXP(G295+1.96*H295)</f>
        <v>1.04771569032601</v>
      </c>
      <c r="M295" s="5" t="s">
        <v>78</v>
      </c>
      <c r="N295" s="5"/>
    </row>
    <row r="296" customFormat="false" ht="15" hidden="false" customHeight="true" outlineLevel="0" collapsed="false">
      <c r="A296" s="5" t="s">
        <v>131</v>
      </c>
      <c r="B296" s="5" t="s">
        <v>132</v>
      </c>
      <c r="C296" s="5" t="s">
        <v>75</v>
      </c>
      <c r="D296" s="5" t="s">
        <v>76</v>
      </c>
      <c r="E296" s="5" t="s">
        <v>109</v>
      </c>
      <c r="F296" s="5" t="n">
        <v>29</v>
      </c>
      <c r="G296" s="6" t="n">
        <v>-0.0891356344231112</v>
      </c>
      <c r="H296" s="6" t="n">
        <v>0.0694216898776192</v>
      </c>
      <c r="I296" s="7" t="n">
        <v>0.094</v>
      </c>
      <c r="J296" s="6" t="n">
        <f aca="false">EXP(G296)</f>
        <v>0.914721497437532</v>
      </c>
      <c r="K296" s="6" t="n">
        <f aca="false">EXP(G296-1.96*H296)</f>
        <v>0.79835481774797</v>
      </c>
      <c r="L296" s="6" t="n">
        <f aca="false">EXP(G296+1.96*H296)</f>
        <v>1.04804956301836</v>
      </c>
      <c r="M296" s="5" t="s">
        <v>78</v>
      </c>
      <c r="N296" s="5" t="s">
        <v>110</v>
      </c>
    </row>
    <row r="297" customFormat="false" ht="15" hidden="false" customHeight="true" outlineLevel="0" collapsed="false">
      <c r="A297" s="5" t="s">
        <v>131</v>
      </c>
      <c r="B297" s="5" t="s">
        <v>132</v>
      </c>
      <c r="C297" s="5" t="s">
        <v>75</v>
      </c>
      <c r="D297" s="5" t="s">
        <v>76</v>
      </c>
      <c r="E297" s="5" t="s">
        <v>111</v>
      </c>
      <c r="F297" s="5" t="n">
        <v>29</v>
      </c>
      <c r="G297" s="6" t="n">
        <v>-0.0891670779100612</v>
      </c>
      <c r="H297" s="6" t="n">
        <v>0.238174024934555</v>
      </c>
      <c r="I297" s="7" t="n">
        <v>0.708123224491183</v>
      </c>
      <c r="J297" s="6" t="n">
        <f aca="false">EXP(G297)</f>
        <v>0.914692735856249</v>
      </c>
      <c r="K297" s="6" t="n">
        <f aca="false">EXP(G297-1.96*H297)</f>
        <v>0.573505262248476</v>
      </c>
      <c r="L297" s="6" t="n">
        <f aca="false">EXP(G297+1.96*H297)</f>
        <v>1.45885810663355</v>
      </c>
      <c r="M297" s="5" t="s">
        <v>78</v>
      </c>
      <c r="N297" s="5"/>
    </row>
    <row r="298" customFormat="false" ht="15" hidden="false" customHeight="true" outlineLevel="0" collapsed="false">
      <c r="A298" s="5" t="s">
        <v>131</v>
      </c>
      <c r="B298" s="5" t="s">
        <v>132</v>
      </c>
      <c r="C298" s="5" t="s">
        <v>75</v>
      </c>
      <c r="D298" s="5" t="s">
        <v>76</v>
      </c>
      <c r="E298" s="5" t="s">
        <v>112</v>
      </c>
      <c r="F298" s="5" t="n">
        <v>29</v>
      </c>
      <c r="G298" s="6" t="n">
        <v>-0.10227973760188</v>
      </c>
      <c r="H298" s="6" t="n">
        <v>0.0639472094011806</v>
      </c>
      <c r="I298" s="7" t="n">
        <v>0.10972282527005</v>
      </c>
      <c r="J298" s="6" t="n">
        <f aca="false">EXP(G298)</f>
        <v>0.902776975676815</v>
      </c>
      <c r="K298" s="6" t="n">
        <f aca="false">EXP(G298-1.96*H298)</f>
        <v>0.79642981678972</v>
      </c>
      <c r="L298" s="6" t="n">
        <f aca="false">EXP(G298+1.96*H298)</f>
        <v>1.02332465539441</v>
      </c>
      <c r="M298" s="5" t="s">
        <v>78</v>
      </c>
      <c r="N298" s="5"/>
    </row>
    <row r="299" customFormat="false" ht="15" hidden="false" customHeight="true" outlineLevel="0" collapsed="false">
      <c r="A299" s="5" t="s">
        <v>131</v>
      </c>
      <c r="B299" s="5" t="s">
        <v>132</v>
      </c>
      <c r="C299" s="5" t="s">
        <v>75</v>
      </c>
      <c r="D299" s="5" t="s">
        <v>76</v>
      </c>
      <c r="E299" s="5" t="s">
        <v>113</v>
      </c>
      <c r="F299" s="5" t="n">
        <v>29</v>
      </c>
      <c r="G299" s="6" t="n">
        <v>-0.10738458817845</v>
      </c>
      <c r="H299" s="6" t="n">
        <v>0.0635037025284599</v>
      </c>
      <c r="I299" s="7" t="n">
        <v>0.0908373223486133</v>
      </c>
      <c r="J299" s="6" t="n">
        <f aca="false">EXP(G299)</f>
        <v>0.89818017707952</v>
      </c>
      <c r="K299" s="6" t="n">
        <f aca="false">EXP(G299-1.96*H299)</f>
        <v>0.793063610836104</v>
      </c>
      <c r="L299" s="6" t="n">
        <f aca="false">EXP(G299+1.96*H299)</f>
        <v>1.01722941196115</v>
      </c>
      <c r="M299" s="5" t="s">
        <v>78</v>
      </c>
      <c r="N299" s="5"/>
    </row>
    <row r="300" customFormat="false" ht="15" hidden="false" customHeight="true" outlineLevel="0" collapsed="false">
      <c r="A300" s="5" t="s">
        <v>131</v>
      </c>
      <c r="B300" s="5" t="s">
        <v>132</v>
      </c>
      <c r="C300" s="5" t="s">
        <v>75</v>
      </c>
      <c r="D300" s="5" t="s">
        <v>76</v>
      </c>
      <c r="E300" s="5" t="s">
        <v>114</v>
      </c>
      <c r="F300" s="5" t="n">
        <v>29</v>
      </c>
      <c r="G300" s="6" t="n">
        <v>-0.266465347803421</v>
      </c>
      <c r="H300" s="6" t="n">
        <v>0.352572577033417</v>
      </c>
      <c r="I300" s="7" t="n">
        <v>0.456095943014135</v>
      </c>
      <c r="J300" s="6" t="n">
        <f aca="false">EXP(G300)</f>
        <v>0.766082549709361</v>
      </c>
      <c r="K300" s="6" t="n">
        <f aca="false">EXP(G300-1.96*H300)</f>
        <v>0.383848398934017</v>
      </c>
      <c r="L300" s="6" t="n">
        <f aca="false">EXP(G300+1.96*H300)</f>
        <v>1.52894339171148</v>
      </c>
      <c r="M300" s="5" t="s">
        <v>78</v>
      </c>
      <c r="N300" s="5"/>
    </row>
    <row r="301" customFormat="false" ht="15" hidden="false" customHeight="true" outlineLevel="0" collapsed="false">
      <c r="A301" s="5" t="s">
        <v>131</v>
      </c>
      <c r="B301" s="5" t="s">
        <v>132</v>
      </c>
      <c r="C301" s="5" t="s">
        <v>75</v>
      </c>
      <c r="D301" s="5" t="s">
        <v>76</v>
      </c>
      <c r="E301" s="5" t="s">
        <v>115</v>
      </c>
      <c r="F301" s="5" t="n">
        <v>29</v>
      </c>
      <c r="G301" s="6" t="n">
        <v>-0.266465347803421</v>
      </c>
      <c r="H301" s="6" t="n">
        <v>0.34489411768695</v>
      </c>
      <c r="I301" s="7" t="n">
        <v>0.446231930061491</v>
      </c>
      <c r="J301" s="6" t="n">
        <f aca="false">EXP(G301)</f>
        <v>0.766082549709361</v>
      </c>
      <c r="K301" s="6" t="n">
        <f aca="false">EXP(G301-1.96*H301)</f>
        <v>0.389668921950208</v>
      </c>
      <c r="L301" s="6" t="n">
        <f aca="false">EXP(G301+1.96*H301)</f>
        <v>1.50610541387796</v>
      </c>
      <c r="M301" s="5" t="s">
        <v>78</v>
      </c>
      <c r="N301" s="5" t="s">
        <v>116</v>
      </c>
    </row>
    <row r="302" customFormat="false" ht="15" hidden="false" customHeight="true" outlineLevel="0" collapsed="false">
      <c r="A302" s="5" t="s">
        <v>131</v>
      </c>
      <c r="B302" s="5" t="s">
        <v>132</v>
      </c>
      <c r="C302" s="5" t="s">
        <v>75</v>
      </c>
      <c r="D302" s="5" t="s">
        <v>76</v>
      </c>
      <c r="E302" s="5" t="s">
        <v>117</v>
      </c>
      <c r="F302" s="5" t="n">
        <v>29</v>
      </c>
      <c r="G302" s="6" t="n">
        <v>-0.11027176666893</v>
      </c>
      <c r="H302" s="6" t="n">
        <v>0.0723262366358281</v>
      </c>
      <c r="I302" s="7" t="n">
        <v>0.138564574213743</v>
      </c>
      <c r="J302" s="6" t="n">
        <f aca="false">EXP(G302)</f>
        <v>0.895590710516534</v>
      </c>
      <c r="K302" s="6" t="n">
        <f aca="false">EXP(G302-1.96*H302)</f>
        <v>0.777220495814321</v>
      </c>
      <c r="L302" s="6" t="n">
        <f aca="false">EXP(G302+1.96*H302)</f>
        <v>1.03198863782296</v>
      </c>
      <c r="M302" s="5" t="s">
        <v>78</v>
      </c>
      <c r="N302" s="5"/>
    </row>
    <row r="303" customFormat="false" ht="15" hidden="false" customHeight="true" outlineLevel="0" collapsed="false">
      <c r="A303" s="5" t="s">
        <v>131</v>
      </c>
      <c r="B303" s="5" t="s">
        <v>132</v>
      </c>
      <c r="C303" s="5" t="s">
        <v>75</v>
      </c>
      <c r="D303" s="5" t="s">
        <v>76</v>
      </c>
      <c r="E303" s="5" t="s">
        <v>118</v>
      </c>
      <c r="F303" s="5" t="n">
        <v>29</v>
      </c>
      <c r="G303" s="6" t="n">
        <v>-0.11027176666893</v>
      </c>
      <c r="H303" s="6" t="n">
        <v>0.0763108762325372</v>
      </c>
      <c r="I303" s="7" t="n">
        <v>0.159547909406416</v>
      </c>
      <c r="J303" s="6" t="n">
        <f aca="false">EXP(G303)</f>
        <v>0.895590710516534</v>
      </c>
      <c r="K303" s="6" t="n">
        <f aca="false">EXP(G303-1.96*H303)</f>
        <v>0.771174127908753</v>
      </c>
      <c r="L303" s="6" t="n">
        <f aca="false">EXP(G303+1.96*H303)</f>
        <v>1.04007991416747</v>
      </c>
      <c r="M303" s="5" t="s">
        <v>78</v>
      </c>
      <c r="N303" s="5" t="s">
        <v>119</v>
      </c>
    </row>
    <row r="304" customFormat="false" ht="15" hidden="false" customHeight="true" outlineLevel="0" collapsed="false">
      <c r="A304" s="5" t="s">
        <v>131</v>
      </c>
      <c r="B304" s="5" t="s">
        <v>132</v>
      </c>
      <c r="C304" s="5" t="s">
        <v>75</v>
      </c>
      <c r="D304" s="5" t="s">
        <v>76</v>
      </c>
      <c r="E304" s="5" t="s">
        <v>120</v>
      </c>
      <c r="F304" s="5" t="n">
        <v>29</v>
      </c>
      <c r="G304" s="6" t="n">
        <v>-0.107788110476958</v>
      </c>
      <c r="H304" s="6" t="n">
        <v>0.068466858283738</v>
      </c>
      <c r="I304" s="7" t="n">
        <v>0.115415627531833</v>
      </c>
      <c r="J304" s="6" t="n">
        <f aca="false">EXP(G304)</f>
        <v>0.897817814465605</v>
      </c>
      <c r="K304" s="6" t="n">
        <f aca="false">EXP(G304-1.96*H304)</f>
        <v>0.78506940372991</v>
      </c>
      <c r="L304" s="6" t="n">
        <f aca="false">EXP(G304+1.96*H304)</f>
        <v>1.02675868419031</v>
      </c>
      <c r="M304" s="5" t="s">
        <v>78</v>
      </c>
      <c r="N304" s="5"/>
    </row>
    <row r="305" customFormat="false" ht="15" hidden="false" customHeight="true" outlineLevel="0" collapsed="false">
      <c r="A305" s="5" t="s">
        <v>131</v>
      </c>
      <c r="B305" s="5" t="s">
        <v>132</v>
      </c>
      <c r="C305" s="5" t="s">
        <v>75</v>
      </c>
      <c r="D305" s="5" t="s">
        <v>76</v>
      </c>
      <c r="E305" s="5" t="s">
        <v>121</v>
      </c>
      <c r="F305" s="5" t="n">
        <v>29</v>
      </c>
      <c r="G305" s="6" t="n">
        <v>-0.0960367753014908</v>
      </c>
      <c r="H305" s="6" t="n">
        <v>0.0671471152865088</v>
      </c>
      <c r="I305" s="7" t="n">
        <v>0.164118345292633</v>
      </c>
      <c r="J305" s="6" t="n">
        <f aca="false">EXP(G305)</f>
        <v>0.908430607644928</v>
      </c>
      <c r="K305" s="6" t="n">
        <f aca="false">EXP(G305-1.96*H305)</f>
        <v>0.796406837544686</v>
      </c>
      <c r="L305" s="6" t="n">
        <f aca="false">EXP(G305+1.96*H305)</f>
        <v>1.03621180783726</v>
      </c>
      <c r="M305" s="5" t="s">
        <v>78</v>
      </c>
      <c r="N305" s="5"/>
    </row>
    <row r="306" customFormat="false" ht="15" hidden="false" customHeight="true" outlineLevel="0" collapsed="false">
      <c r="A306" s="5" t="s">
        <v>131</v>
      </c>
      <c r="B306" s="5" t="s">
        <v>132</v>
      </c>
      <c r="C306" s="5" t="s">
        <v>75</v>
      </c>
      <c r="D306" s="5" t="s">
        <v>76</v>
      </c>
      <c r="E306" s="5" t="s">
        <v>122</v>
      </c>
      <c r="F306" s="5" t="n">
        <v>29</v>
      </c>
      <c r="G306" s="6" t="n">
        <v>-0.126111374007451</v>
      </c>
      <c r="H306" s="6" t="n">
        <v>4.8459816170146</v>
      </c>
      <c r="I306" s="7" t="n">
        <v>0.979238270028993</v>
      </c>
      <c r="J306" s="6" t="n">
        <f aca="false">EXP(G306)</f>
        <v>0.881516663272549</v>
      </c>
      <c r="K306" s="6" t="s">
        <v>81</v>
      </c>
      <c r="L306" s="6" t="s">
        <v>81</v>
      </c>
      <c r="M306" s="5" t="s">
        <v>78</v>
      </c>
      <c r="N306" s="5" t="s">
        <v>123</v>
      </c>
    </row>
    <row r="307" customFormat="false" ht="15" hidden="false" customHeight="true" outlineLevel="0" collapsed="false">
      <c r="A307" s="5" t="s">
        <v>131</v>
      </c>
      <c r="B307" s="5" t="s">
        <v>132</v>
      </c>
      <c r="C307" s="5" t="s">
        <v>75</v>
      </c>
      <c r="D307" s="5" t="s">
        <v>76</v>
      </c>
      <c r="E307" s="5" t="s">
        <v>124</v>
      </c>
      <c r="F307" s="5" t="n">
        <v>29</v>
      </c>
      <c r="G307" s="6" t="n">
        <v>-0.172413793103448</v>
      </c>
      <c r="H307" s="6"/>
      <c r="I307" s="7" t="n">
        <v>0.458258319646121</v>
      </c>
      <c r="J307" s="6" t="n">
        <f aca="false">EXP(G307)</f>
        <v>0.841630840067284</v>
      </c>
      <c r="K307" s="6" t="s">
        <v>81</v>
      </c>
      <c r="L307" s="6" t="s">
        <v>81</v>
      </c>
      <c r="M307" s="5" t="s">
        <v>78</v>
      </c>
      <c r="N307" s="5" t="s">
        <v>125</v>
      </c>
    </row>
    <row r="308" customFormat="false" ht="15" hidden="false" customHeight="true" outlineLevel="0" collapsed="false">
      <c r="A308" s="5" t="s">
        <v>131</v>
      </c>
      <c r="B308" s="5" t="s">
        <v>132</v>
      </c>
      <c r="C308" s="5" t="s">
        <v>79</v>
      </c>
      <c r="D308" s="5" t="s">
        <v>80</v>
      </c>
      <c r="E308" s="5" t="s">
        <v>100</v>
      </c>
      <c r="F308" s="5" t="n">
        <v>34</v>
      </c>
      <c r="G308" s="6" t="n">
        <v>-0.00894196135950078</v>
      </c>
      <c r="H308" s="6" t="n">
        <v>0.00283048560960513</v>
      </c>
      <c r="I308" s="7" t="n">
        <v>0.00158223747100768</v>
      </c>
      <c r="J308" s="6" t="s">
        <v>81</v>
      </c>
      <c r="K308" s="6" t="s">
        <v>81</v>
      </c>
      <c r="L308" s="6" t="s">
        <v>81</v>
      </c>
      <c r="M308" s="5" t="s">
        <v>82</v>
      </c>
      <c r="N308" s="5"/>
    </row>
    <row r="309" customFormat="false" ht="15" hidden="false" customHeight="true" outlineLevel="0" collapsed="false">
      <c r="A309" s="5" t="s">
        <v>131</v>
      </c>
      <c r="B309" s="5" t="s">
        <v>132</v>
      </c>
      <c r="C309" s="5" t="s">
        <v>79</v>
      </c>
      <c r="D309" s="5" t="s">
        <v>80</v>
      </c>
      <c r="E309" s="5" t="s">
        <v>101</v>
      </c>
      <c r="F309" s="5" t="n">
        <v>34</v>
      </c>
      <c r="G309" s="6" t="n">
        <v>-0.00894196135950078</v>
      </c>
      <c r="H309" s="6" t="n">
        <v>0.00279742398372294</v>
      </c>
      <c r="I309" s="7" t="n">
        <v>0.00139106585691645</v>
      </c>
      <c r="J309" s="6" t="s">
        <v>81</v>
      </c>
      <c r="K309" s="6" t="s">
        <v>81</v>
      </c>
      <c r="L309" s="6" t="s">
        <v>81</v>
      </c>
      <c r="M309" s="5" t="s">
        <v>82</v>
      </c>
      <c r="N309" s="5" t="s">
        <v>102</v>
      </c>
    </row>
    <row r="310" customFormat="false" ht="15" hidden="false" customHeight="true" outlineLevel="0" collapsed="false">
      <c r="A310" s="5" t="s">
        <v>131</v>
      </c>
      <c r="B310" s="5" t="s">
        <v>132</v>
      </c>
      <c r="C310" s="5" t="s">
        <v>79</v>
      </c>
      <c r="D310" s="5" t="s">
        <v>80</v>
      </c>
      <c r="E310" s="5" t="s">
        <v>103</v>
      </c>
      <c r="F310" s="5" t="n">
        <v>34</v>
      </c>
      <c r="G310" s="6" t="n">
        <v>-0.00894196135950078</v>
      </c>
      <c r="H310" s="6" t="n">
        <v>0.00283048560960513</v>
      </c>
      <c r="I310" s="7" t="n">
        <v>0.00158223747100768</v>
      </c>
      <c r="J310" s="6" t="s">
        <v>81</v>
      </c>
      <c r="K310" s="6" t="s">
        <v>81</v>
      </c>
      <c r="L310" s="6" t="s">
        <v>81</v>
      </c>
      <c r="M310" s="5" t="s">
        <v>82</v>
      </c>
      <c r="N310" s="5" t="s">
        <v>104</v>
      </c>
    </row>
    <row r="311" customFormat="false" ht="15" hidden="false" customHeight="true" outlineLevel="0" collapsed="false">
      <c r="A311" s="5" t="s">
        <v>131</v>
      </c>
      <c r="B311" s="5" t="s">
        <v>132</v>
      </c>
      <c r="C311" s="5" t="s">
        <v>79</v>
      </c>
      <c r="D311" s="5" t="s">
        <v>80</v>
      </c>
      <c r="E311" s="5" t="s">
        <v>105</v>
      </c>
      <c r="F311" s="5" t="n">
        <v>34</v>
      </c>
      <c r="G311" s="6" t="n">
        <v>-0.00894052415409618</v>
      </c>
      <c r="H311" s="6" t="n">
        <v>0.00279727494728573</v>
      </c>
      <c r="I311" s="7" t="n">
        <v>0.00139272298861824</v>
      </c>
      <c r="J311" s="6" t="s">
        <v>81</v>
      </c>
      <c r="K311" s="6" t="s">
        <v>81</v>
      </c>
      <c r="L311" s="6" t="s">
        <v>81</v>
      </c>
      <c r="M311" s="5" t="s">
        <v>82</v>
      </c>
      <c r="N311" s="5" t="s">
        <v>106</v>
      </c>
    </row>
    <row r="312" customFormat="false" ht="15" hidden="false" customHeight="true" outlineLevel="0" collapsed="false">
      <c r="A312" s="5" t="s">
        <v>131</v>
      </c>
      <c r="B312" s="5" t="s">
        <v>132</v>
      </c>
      <c r="C312" s="5" t="s">
        <v>79</v>
      </c>
      <c r="D312" s="5" t="s">
        <v>80</v>
      </c>
      <c r="E312" s="5" t="s">
        <v>107</v>
      </c>
      <c r="F312" s="5" t="n">
        <v>34</v>
      </c>
      <c r="G312" s="6" t="n">
        <v>-0.00897225991855531</v>
      </c>
      <c r="H312" s="6" t="n">
        <v>0.00285221850319682</v>
      </c>
      <c r="I312" s="7" t="n">
        <v>0.0016568268175062</v>
      </c>
      <c r="J312" s="6" t="s">
        <v>81</v>
      </c>
      <c r="K312" s="6" t="s">
        <v>81</v>
      </c>
      <c r="L312" s="6" t="s">
        <v>81</v>
      </c>
      <c r="M312" s="5" t="s">
        <v>82</v>
      </c>
      <c r="N312" s="5"/>
    </row>
    <row r="313" customFormat="false" ht="15" hidden="false" customHeight="true" outlineLevel="0" collapsed="false">
      <c r="A313" s="5" t="s">
        <v>131</v>
      </c>
      <c r="B313" s="5" t="s">
        <v>132</v>
      </c>
      <c r="C313" s="5" t="s">
        <v>79</v>
      </c>
      <c r="D313" s="5" t="s">
        <v>80</v>
      </c>
      <c r="E313" s="5" t="s">
        <v>108</v>
      </c>
      <c r="F313" s="5" t="n">
        <v>34</v>
      </c>
      <c r="G313" s="6" t="n">
        <v>-0.00432201205336239</v>
      </c>
      <c r="H313" s="6" t="n">
        <v>0.00478788009846979</v>
      </c>
      <c r="I313" s="7" t="n">
        <v>0.373431042402951</v>
      </c>
      <c r="J313" s="6" t="s">
        <v>81</v>
      </c>
      <c r="K313" s="6" t="s">
        <v>81</v>
      </c>
      <c r="L313" s="6" t="s">
        <v>81</v>
      </c>
      <c r="M313" s="5" t="s">
        <v>82</v>
      </c>
      <c r="N313" s="5"/>
    </row>
    <row r="314" customFormat="false" ht="15" hidden="false" customHeight="true" outlineLevel="0" collapsed="false">
      <c r="A314" s="5" t="s">
        <v>131</v>
      </c>
      <c r="B314" s="5" t="s">
        <v>132</v>
      </c>
      <c r="C314" s="5" t="s">
        <v>79</v>
      </c>
      <c r="D314" s="5" t="s">
        <v>80</v>
      </c>
      <c r="E314" s="5" t="s">
        <v>109</v>
      </c>
      <c r="F314" s="5" t="n">
        <v>34</v>
      </c>
      <c r="G314" s="6" t="n">
        <v>-0.0157508470210753</v>
      </c>
      <c r="H314" s="6" t="n">
        <v>0.0095582760664559</v>
      </c>
      <c r="I314" s="7" t="n">
        <v>0.053</v>
      </c>
      <c r="J314" s="6" t="s">
        <v>81</v>
      </c>
      <c r="K314" s="6" t="s">
        <v>81</v>
      </c>
      <c r="L314" s="6" t="s">
        <v>81</v>
      </c>
      <c r="M314" s="5" t="s">
        <v>82</v>
      </c>
      <c r="N314" s="5" t="s">
        <v>110</v>
      </c>
    </row>
    <row r="315" customFormat="false" ht="15" hidden="false" customHeight="true" outlineLevel="0" collapsed="false">
      <c r="A315" s="5" t="s">
        <v>131</v>
      </c>
      <c r="B315" s="5" t="s">
        <v>132</v>
      </c>
      <c r="C315" s="5" t="s">
        <v>79</v>
      </c>
      <c r="D315" s="5" t="s">
        <v>80</v>
      </c>
      <c r="E315" s="5" t="s">
        <v>111</v>
      </c>
      <c r="F315" s="5" t="n">
        <v>34</v>
      </c>
      <c r="G315" s="6" t="n">
        <v>-0.00816397611482155</v>
      </c>
      <c r="H315" s="6" t="n">
        <v>0.00483321053993579</v>
      </c>
      <c r="I315" s="7" t="n">
        <v>0.0911923318645359</v>
      </c>
      <c r="J315" s="6" t="s">
        <v>81</v>
      </c>
      <c r="K315" s="6" t="s">
        <v>81</v>
      </c>
      <c r="L315" s="6" t="s">
        <v>81</v>
      </c>
      <c r="M315" s="5" t="s">
        <v>82</v>
      </c>
      <c r="N315" s="5"/>
    </row>
    <row r="316" customFormat="false" ht="15" hidden="false" customHeight="true" outlineLevel="0" collapsed="false">
      <c r="A316" s="5" t="s">
        <v>131</v>
      </c>
      <c r="B316" s="5" t="s">
        <v>132</v>
      </c>
      <c r="C316" s="5" t="s">
        <v>79</v>
      </c>
      <c r="D316" s="5" t="s">
        <v>80</v>
      </c>
      <c r="E316" s="5" t="s">
        <v>112</v>
      </c>
      <c r="F316" s="5" t="n">
        <v>34</v>
      </c>
      <c r="G316" s="6" t="n">
        <v>-0.0026084256503909</v>
      </c>
      <c r="H316" s="6" t="n">
        <v>0.00419283785712795</v>
      </c>
      <c r="I316" s="7" t="n">
        <v>0.533866514748866</v>
      </c>
      <c r="J316" s="6" t="s">
        <v>81</v>
      </c>
      <c r="K316" s="6" t="s">
        <v>81</v>
      </c>
      <c r="L316" s="6" t="s">
        <v>81</v>
      </c>
      <c r="M316" s="5" t="s">
        <v>82</v>
      </c>
      <c r="N316" s="5"/>
    </row>
    <row r="317" customFormat="false" ht="15" hidden="false" customHeight="true" outlineLevel="0" collapsed="false">
      <c r="A317" s="5" t="s">
        <v>131</v>
      </c>
      <c r="B317" s="5" t="s">
        <v>132</v>
      </c>
      <c r="C317" s="5" t="s">
        <v>79</v>
      </c>
      <c r="D317" s="5" t="s">
        <v>80</v>
      </c>
      <c r="E317" s="5" t="s">
        <v>113</v>
      </c>
      <c r="F317" s="5" t="n">
        <v>34</v>
      </c>
      <c r="G317" s="6" t="n">
        <v>-0.00243120811842954</v>
      </c>
      <c r="H317" s="6" t="n">
        <v>0.00417842469351251</v>
      </c>
      <c r="I317" s="7" t="n">
        <v>0.560669058208202</v>
      </c>
      <c r="J317" s="6" t="s">
        <v>81</v>
      </c>
      <c r="K317" s="6" t="s">
        <v>81</v>
      </c>
      <c r="L317" s="6" t="s">
        <v>81</v>
      </c>
      <c r="M317" s="5" t="s">
        <v>82</v>
      </c>
      <c r="N317" s="5"/>
    </row>
    <row r="318" customFormat="false" ht="15" hidden="false" customHeight="true" outlineLevel="0" collapsed="false">
      <c r="A318" s="5" t="s">
        <v>131</v>
      </c>
      <c r="B318" s="5" t="s">
        <v>132</v>
      </c>
      <c r="C318" s="5" t="s">
        <v>79</v>
      </c>
      <c r="D318" s="5" t="s">
        <v>80</v>
      </c>
      <c r="E318" s="5" t="s">
        <v>114</v>
      </c>
      <c r="F318" s="5" t="n">
        <v>34</v>
      </c>
      <c r="G318" s="6" t="n">
        <v>-0.00793245719596429</v>
      </c>
      <c r="H318" s="6" t="n">
        <v>0.00996016977976501</v>
      </c>
      <c r="I318" s="7" t="n">
        <v>0.431481683350134</v>
      </c>
      <c r="J318" s="6" t="s">
        <v>81</v>
      </c>
      <c r="K318" s="6" t="s">
        <v>81</v>
      </c>
      <c r="L318" s="6" t="s">
        <v>81</v>
      </c>
      <c r="M318" s="5" t="s">
        <v>82</v>
      </c>
      <c r="N318" s="5"/>
    </row>
    <row r="319" customFormat="false" ht="15" hidden="false" customHeight="true" outlineLevel="0" collapsed="false">
      <c r="A319" s="5" t="s">
        <v>131</v>
      </c>
      <c r="B319" s="5" t="s">
        <v>132</v>
      </c>
      <c r="C319" s="5" t="s">
        <v>79</v>
      </c>
      <c r="D319" s="5" t="s">
        <v>80</v>
      </c>
      <c r="E319" s="5" t="s">
        <v>115</v>
      </c>
      <c r="F319" s="5" t="n">
        <v>34</v>
      </c>
      <c r="G319" s="6" t="n">
        <v>-0.00793245719596429</v>
      </c>
      <c r="H319" s="6" t="n">
        <v>0.00945421225396819</v>
      </c>
      <c r="I319" s="7" t="n">
        <v>0.407484287761392</v>
      </c>
      <c r="J319" s="6" t="s">
        <v>81</v>
      </c>
      <c r="K319" s="6" t="s">
        <v>81</v>
      </c>
      <c r="L319" s="6" t="s">
        <v>81</v>
      </c>
      <c r="M319" s="5" t="s">
        <v>82</v>
      </c>
      <c r="N319" s="5" t="s">
        <v>116</v>
      </c>
    </row>
    <row r="320" customFormat="false" ht="15" hidden="false" customHeight="true" outlineLevel="0" collapsed="false">
      <c r="A320" s="5" t="s">
        <v>131</v>
      </c>
      <c r="B320" s="5" t="s">
        <v>132</v>
      </c>
      <c r="C320" s="5" t="s">
        <v>79</v>
      </c>
      <c r="D320" s="5" t="s">
        <v>80</v>
      </c>
      <c r="E320" s="5" t="s">
        <v>117</v>
      </c>
      <c r="F320" s="5" t="n">
        <v>34</v>
      </c>
      <c r="G320" s="6" t="n">
        <v>-0.00291971625715969</v>
      </c>
      <c r="H320" s="6" t="n">
        <v>0.00439119740893173</v>
      </c>
      <c r="I320" s="7" t="n">
        <v>0.510733399456962</v>
      </c>
      <c r="J320" s="6" t="s">
        <v>81</v>
      </c>
      <c r="K320" s="6" t="s">
        <v>81</v>
      </c>
      <c r="L320" s="6" t="s">
        <v>81</v>
      </c>
      <c r="M320" s="5" t="s">
        <v>82</v>
      </c>
      <c r="N320" s="5"/>
    </row>
    <row r="321" customFormat="false" ht="15" hidden="false" customHeight="true" outlineLevel="0" collapsed="false">
      <c r="A321" s="5" t="s">
        <v>131</v>
      </c>
      <c r="B321" s="5" t="s">
        <v>132</v>
      </c>
      <c r="C321" s="5" t="s">
        <v>79</v>
      </c>
      <c r="D321" s="5" t="s">
        <v>80</v>
      </c>
      <c r="E321" s="5" t="s">
        <v>118</v>
      </c>
      <c r="F321" s="5" t="n">
        <v>34</v>
      </c>
      <c r="G321" s="6" t="n">
        <v>-0.00291971625715969</v>
      </c>
      <c r="H321" s="6" t="n">
        <v>0.00453379834229245</v>
      </c>
      <c r="I321" s="7" t="n">
        <v>0.524033601338155</v>
      </c>
      <c r="J321" s="6" t="s">
        <v>81</v>
      </c>
      <c r="K321" s="6" t="s">
        <v>81</v>
      </c>
      <c r="L321" s="6" t="s">
        <v>81</v>
      </c>
      <c r="M321" s="5" t="s">
        <v>82</v>
      </c>
      <c r="N321" s="5" t="s">
        <v>119</v>
      </c>
    </row>
    <row r="322" customFormat="false" ht="15" hidden="false" customHeight="true" outlineLevel="0" collapsed="false">
      <c r="A322" s="5" t="s">
        <v>131</v>
      </c>
      <c r="B322" s="5" t="s">
        <v>132</v>
      </c>
      <c r="C322" s="5" t="s">
        <v>79</v>
      </c>
      <c r="D322" s="5" t="s">
        <v>80</v>
      </c>
      <c r="E322" s="5" t="s">
        <v>120</v>
      </c>
      <c r="F322" s="5" t="n">
        <v>34</v>
      </c>
      <c r="G322" s="6" t="n">
        <v>-0.00802295479435082</v>
      </c>
      <c r="H322" s="6" t="n">
        <v>0.002946646917335</v>
      </c>
      <c r="I322" s="7" t="n">
        <v>0.00647428976365729</v>
      </c>
      <c r="J322" s="6" t="s">
        <v>81</v>
      </c>
      <c r="K322" s="6" t="s">
        <v>81</v>
      </c>
      <c r="L322" s="6" t="s">
        <v>81</v>
      </c>
      <c r="M322" s="5" t="s">
        <v>82</v>
      </c>
      <c r="N322" s="5"/>
    </row>
    <row r="323" customFormat="false" ht="15" hidden="false" customHeight="true" outlineLevel="0" collapsed="false">
      <c r="A323" s="5" t="s">
        <v>131</v>
      </c>
      <c r="B323" s="5" t="s">
        <v>132</v>
      </c>
      <c r="C323" s="5" t="s">
        <v>79</v>
      </c>
      <c r="D323" s="5" t="s">
        <v>80</v>
      </c>
      <c r="E323" s="5" t="s">
        <v>121</v>
      </c>
      <c r="F323" s="5" t="n">
        <v>34</v>
      </c>
      <c r="G323" s="6" t="n">
        <v>-0.00704169864126129</v>
      </c>
      <c r="H323" s="6" t="n">
        <v>0.00393872395207208</v>
      </c>
      <c r="I323" s="7" t="n">
        <v>0.0832804672371847</v>
      </c>
      <c r="J323" s="6" t="s">
        <v>81</v>
      </c>
      <c r="K323" s="6" t="s">
        <v>81</v>
      </c>
      <c r="L323" s="6" t="s">
        <v>81</v>
      </c>
      <c r="M323" s="5" t="s">
        <v>82</v>
      </c>
      <c r="N323" s="5"/>
    </row>
    <row r="324" customFormat="false" ht="15" hidden="false" customHeight="true" outlineLevel="0" collapsed="false">
      <c r="A324" s="5" t="s">
        <v>131</v>
      </c>
      <c r="B324" s="5" t="s">
        <v>132</v>
      </c>
      <c r="C324" s="5" t="s">
        <v>79</v>
      </c>
      <c r="D324" s="5" t="s">
        <v>80</v>
      </c>
      <c r="E324" s="5" t="s">
        <v>122</v>
      </c>
      <c r="F324" s="5" t="n">
        <v>34</v>
      </c>
      <c r="G324" s="6" t="n">
        <v>-0.00407136796689121</v>
      </c>
      <c r="H324" s="6" t="n">
        <v>4.58310438805429</v>
      </c>
      <c r="I324" s="7" t="n">
        <v>0.9992912050567</v>
      </c>
      <c r="J324" s="6" t="s">
        <v>81</v>
      </c>
      <c r="K324" s="6" t="s">
        <v>81</v>
      </c>
      <c r="L324" s="6" t="s">
        <v>81</v>
      </c>
      <c r="M324" s="5" t="s">
        <v>82</v>
      </c>
      <c r="N324" s="5" t="s">
        <v>123</v>
      </c>
    </row>
    <row r="325" customFormat="false" ht="15" hidden="false" customHeight="true" outlineLevel="0" collapsed="false">
      <c r="A325" s="5" t="s">
        <v>131</v>
      </c>
      <c r="B325" s="5" t="s">
        <v>132</v>
      </c>
      <c r="C325" s="5" t="s">
        <v>79</v>
      </c>
      <c r="D325" s="5" t="s">
        <v>80</v>
      </c>
      <c r="E325" s="5" t="s">
        <v>124</v>
      </c>
      <c r="F325" s="5" t="n">
        <v>34</v>
      </c>
      <c r="G325" s="6" t="n">
        <v>-0.470588235294118</v>
      </c>
      <c r="H325" s="6"/>
      <c r="I325" s="7" t="n">
        <v>0.00904118549078704</v>
      </c>
      <c r="J325" s="6" t="s">
        <v>81</v>
      </c>
      <c r="K325" s="6" t="s">
        <v>81</v>
      </c>
      <c r="L325" s="6" t="s">
        <v>81</v>
      </c>
      <c r="M325" s="5" t="s">
        <v>82</v>
      </c>
      <c r="N325" s="5" t="s">
        <v>125</v>
      </c>
    </row>
    <row r="326" customFormat="false" ht="15" hidden="false" customHeight="true" outlineLevel="0" collapsed="false">
      <c r="A326" s="5" t="s">
        <v>131</v>
      </c>
      <c r="B326" s="5" t="s">
        <v>132</v>
      </c>
      <c r="C326" s="5" t="s">
        <v>83</v>
      </c>
      <c r="D326" s="5" t="s">
        <v>84</v>
      </c>
      <c r="E326" s="5" t="s">
        <v>100</v>
      </c>
      <c r="F326" s="5" t="n">
        <v>34</v>
      </c>
      <c r="G326" s="6" t="n">
        <v>-0.395463281007573</v>
      </c>
      <c r="H326" s="6" t="n">
        <v>0.174691462909969</v>
      </c>
      <c r="I326" s="7" t="n">
        <v>0.0235875642853287</v>
      </c>
      <c r="J326" s="6" t="n">
        <f aca="false">EXP(G326)</f>
        <v>0.673368008366074</v>
      </c>
      <c r="K326" s="6" t="n">
        <f aca="false">EXP(G326-1.96*H326)</f>
        <v>0.478136726680693</v>
      </c>
      <c r="L326" s="6" t="n">
        <f aca="false">EXP(G326+1.96*H326)</f>
        <v>0.948315511838306</v>
      </c>
      <c r="M326" s="5" t="s">
        <v>78</v>
      </c>
      <c r="N326" s="5"/>
    </row>
    <row r="327" customFormat="false" ht="15" hidden="false" customHeight="true" outlineLevel="0" collapsed="false">
      <c r="A327" s="5" t="s">
        <v>131</v>
      </c>
      <c r="B327" s="5" t="s">
        <v>132</v>
      </c>
      <c r="C327" s="5" t="s">
        <v>83</v>
      </c>
      <c r="D327" s="5" t="s">
        <v>84</v>
      </c>
      <c r="E327" s="5" t="s">
        <v>101</v>
      </c>
      <c r="F327" s="5" t="n">
        <v>34</v>
      </c>
      <c r="G327" s="6" t="n">
        <v>-0.395463281007573</v>
      </c>
      <c r="H327" s="6" t="n">
        <v>0.174691462909969</v>
      </c>
      <c r="I327" s="7" t="n">
        <v>0.0235875642853287</v>
      </c>
      <c r="J327" s="6" t="n">
        <f aca="false">EXP(G327)</f>
        <v>0.673368008366074</v>
      </c>
      <c r="K327" s="6" t="n">
        <f aca="false">EXP(G327-1.96*H327)</f>
        <v>0.478136726680693</v>
      </c>
      <c r="L327" s="6" t="n">
        <f aca="false">EXP(G327+1.96*H327)</f>
        <v>0.948315511838306</v>
      </c>
      <c r="M327" s="5" t="s">
        <v>78</v>
      </c>
      <c r="N327" s="5" t="s">
        <v>102</v>
      </c>
    </row>
    <row r="328" customFormat="false" ht="15" hidden="false" customHeight="true" outlineLevel="0" collapsed="false">
      <c r="A328" s="5" t="s">
        <v>131</v>
      </c>
      <c r="B328" s="5" t="s">
        <v>132</v>
      </c>
      <c r="C328" s="5" t="s">
        <v>83</v>
      </c>
      <c r="D328" s="5" t="s">
        <v>84</v>
      </c>
      <c r="E328" s="5" t="s">
        <v>103</v>
      </c>
      <c r="F328" s="5" t="n">
        <v>34</v>
      </c>
      <c r="G328" s="6" t="n">
        <v>-0.395463281007573</v>
      </c>
      <c r="H328" s="6" t="n">
        <v>0.142994606433386</v>
      </c>
      <c r="I328" s="7" t="n">
        <v>0.00568213521832899</v>
      </c>
      <c r="J328" s="6" t="n">
        <f aca="false">EXP(G328)</f>
        <v>0.673368008366074</v>
      </c>
      <c r="K328" s="6" t="n">
        <f aca="false">EXP(G328-1.96*H328)</f>
        <v>0.508783493441952</v>
      </c>
      <c r="L328" s="6" t="n">
        <f aca="false">EXP(G328+1.96*H328)</f>
        <v>0.891193367189349</v>
      </c>
      <c r="M328" s="5" t="s">
        <v>78</v>
      </c>
      <c r="N328" s="5" t="s">
        <v>104</v>
      </c>
    </row>
    <row r="329" customFormat="false" ht="15" hidden="false" customHeight="true" outlineLevel="0" collapsed="false">
      <c r="A329" s="5" t="s">
        <v>131</v>
      </c>
      <c r="B329" s="5" t="s">
        <v>132</v>
      </c>
      <c r="C329" s="5" t="s">
        <v>83</v>
      </c>
      <c r="D329" s="5" t="s">
        <v>84</v>
      </c>
      <c r="E329" s="5" t="s">
        <v>105</v>
      </c>
      <c r="F329" s="5" t="n">
        <v>34</v>
      </c>
      <c r="G329" s="6" t="n">
        <v>-0.395482438157953</v>
      </c>
      <c r="H329" s="6" t="n">
        <v>0.174687341774262</v>
      </c>
      <c r="I329" s="7" t="n">
        <v>0.0235775314942484</v>
      </c>
      <c r="J329" s="6" t="n">
        <f aca="false">EXP(G329)</f>
        <v>0.673355108677438</v>
      </c>
      <c r="K329" s="6" t="n">
        <f aca="false">EXP(G329-1.96*H329)</f>
        <v>0.478131429086886</v>
      </c>
      <c r="L329" s="6" t="n">
        <f aca="false">EXP(G329+1.96*H329)</f>
        <v>0.948289685218771</v>
      </c>
      <c r="M329" s="5" t="s">
        <v>78</v>
      </c>
      <c r="N329" s="5" t="s">
        <v>106</v>
      </c>
    </row>
    <row r="330" customFormat="false" ht="15" hidden="false" customHeight="true" outlineLevel="0" collapsed="false">
      <c r="A330" s="5" t="s">
        <v>131</v>
      </c>
      <c r="B330" s="5" t="s">
        <v>132</v>
      </c>
      <c r="C330" s="5" t="s">
        <v>83</v>
      </c>
      <c r="D330" s="5" t="s">
        <v>84</v>
      </c>
      <c r="E330" s="5" t="s">
        <v>107</v>
      </c>
      <c r="F330" s="5" t="n">
        <v>34</v>
      </c>
      <c r="G330" s="6" t="n">
        <v>-0.40330663204164</v>
      </c>
      <c r="H330" s="6" t="n">
        <v>0.145089985364386</v>
      </c>
      <c r="I330" s="7" t="n">
        <v>0.00544091378533836</v>
      </c>
      <c r="J330" s="6" t="n">
        <f aca="false">EXP(G330)</f>
        <v>0.668107204835305</v>
      </c>
      <c r="K330" s="6" t="n">
        <f aca="false">EXP(G330-1.96*H330)</f>
        <v>0.50273956652421</v>
      </c>
      <c r="L330" s="6" t="n">
        <f aca="false">EXP(G330+1.96*H330)</f>
        <v>0.887869717991151</v>
      </c>
      <c r="M330" s="5" t="s">
        <v>78</v>
      </c>
      <c r="N330" s="5"/>
    </row>
    <row r="331" customFormat="false" ht="15" hidden="false" customHeight="true" outlineLevel="0" collapsed="false">
      <c r="A331" s="5" t="s">
        <v>131</v>
      </c>
      <c r="B331" s="5" t="s">
        <v>132</v>
      </c>
      <c r="C331" s="5" t="s">
        <v>83</v>
      </c>
      <c r="D331" s="5" t="s">
        <v>84</v>
      </c>
      <c r="E331" s="5" t="s">
        <v>108</v>
      </c>
      <c r="F331" s="5" t="n">
        <v>34</v>
      </c>
      <c r="G331" s="6" t="n">
        <v>-0.512590376228488</v>
      </c>
      <c r="H331" s="6" t="n">
        <v>0.405802312874874</v>
      </c>
      <c r="I331" s="7" t="n">
        <v>0.215660576216338</v>
      </c>
      <c r="J331" s="6" t="n">
        <f aca="false">EXP(G331)</f>
        <v>0.598942082278514</v>
      </c>
      <c r="K331" s="6" t="n">
        <f aca="false">EXP(G331-1.96*H331)</f>
        <v>0.27037026448977</v>
      </c>
      <c r="L331" s="6" t="n">
        <f aca="false">EXP(G331+1.96*H331)</f>
        <v>1.32681609274269</v>
      </c>
      <c r="M331" s="5" t="s">
        <v>78</v>
      </c>
      <c r="N331" s="5"/>
    </row>
    <row r="332" customFormat="false" ht="15" hidden="false" customHeight="true" outlineLevel="0" collapsed="false">
      <c r="A332" s="5" t="s">
        <v>131</v>
      </c>
      <c r="B332" s="5" t="s">
        <v>132</v>
      </c>
      <c r="C332" s="5" t="s">
        <v>83</v>
      </c>
      <c r="D332" s="5" t="s">
        <v>84</v>
      </c>
      <c r="E332" s="5" t="s">
        <v>109</v>
      </c>
      <c r="F332" s="5" t="n">
        <v>34</v>
      </c>
      <c r="G332" s="6" t="n">
        <v>-0.00533229200588189</v>
      </c>
      <c r="H332" s="6" t="n">
        <v>0.374074037799297</v>
      </c>
      <c r="I332" s="7" t="n">
        <v>0.494</v>
      </c>
      <c r="J332" s="6" t="n">
        <f aca="false">EXP(G332)</f>
        <v>0.994681899427642</v>
      </c>
      <c r="K332" s="6" t="n">
        <f aca="false">EXP(G332-1.96*H332)</f>
        <v>0.477821806333003</v>
      </c>
      <c r="L332" s="6" t="n">
        <f aca="false">EXP(G332+1.96*H332)</f>
        <v>2.07062982043866</v>
      </c>
      <c r="M332" s="5" t="s">
        <v>78</v>
      </c>
      <c r="N332" s="5" t="s">
        <v>110</v>
      </c>
    </row>
    <row r="333" customFormat="false" ht="15" hidden="false" customHeight="true" outlineLevel="0" collapsed="false">
      <c r="A333" s="5" t="s">
        <v>131</v>
      </c>
      <c r="B333" s="5" t="s">
        <v>132</v>
      </c>
      <c r="C333" s="5" t="s">
        <v>83</v>
      </c>
      <c r="D333" s="5" t="s">
        <v>84</v>
      </c>
      <c r="E333" s="5" t="s">
        <v>111</v>
      </c>
      <c r="F333" s="5" t="n">
        <v>34</v>
      </c>
      <c r="G333" s="6" t="n">
        <v>-0.427410862937446</v>
      </c>
      <c r="H333" s="6" t="n">
        <v>0.217802974562245</v>
      </c>
      <c r="I333" s="7" t="n">
        <v>0.0497189743171494</v>
      </c>
      <c r="J333" s="6" t="n">
        <f aca="false">EXP(G333)</f>
        <v>0.652195534199363</v>
      </c>
      <c r="K333" s="6" t="n">
        <f aca="false">EXP(G333-1.96*H333)</f>
        <v>0.425578996254003</v>
      </c>
      <c r="L333" s="6" t="n">
        <f aca="false">EXP(G333+1.96*H333)</f>
        <v>0.999483100842977</v>
      </c>
      <c r="M333" s="5" t="s">
        <v>78</v>
      </c>
      <c r="N333" s="5"/>
    </row>
    <row r="334" customFormat="false" ht="15" hidden="false" customHeight="true" outlineLevel="0" collapsed="false">
      <c r="A334" s="5" t="s">
        <v>131</v>
      </c>
      <c r="B334" s="5" t="s">
        <v>132</v>
      </c>
      <c r="C334" s="5" t="s">
        <v>83</v>
      </c>
      <c r="D334" s="5" t="s">
        <v>84</v>
      </c>
      <c r="E334" s="5" t="s">
        <v>112</v>
      </c>
      <c r="F334" s="5" t="n">
        <v>34</v>
      </c>
      <c r="G334" s="6" t="n">
        <v>-0.33918619837327</v>
      </c>
      <c r="H334" s="6" t="n">
        <v>0.220745526660774</v>
      </c>
      <c r="I334" s="7" t="n">
        <v>0.124403922836541</v>
      </c>
      <c r="J334" s="6" t="n">
        <f aca="false">EXP(G334)</f>
        <v>0.712349798366246</v>
      </c>
      <c r="K334" s="6" t="n">
        <f aca="false">EXP(G334-1.96*H334)</f>
        <v>0.462158473432924</v>
      </c>
      <c r="L334" s="6" t="n">
        <f aca="false">EXP(G334+1.96*H334)</f>
        <v>1.09798319062104</v>
      </c>
      <c r="M334" s="5" t="s">
        <v>78</v>
      </c>
      <c r="N334" s="5"/>
    </row>
    <row r="335" customFormat="false" ht="15" hidden="false" customHeight="true" outlineLevel="0" collapsed="false">
      <c r="A335" s="5" t="s">
        <v>131</v>
      </c>
      <c r="B335" s="5" t="s">
        <v>132</v>
      </c>
      <c r="C335" s="5" t="s">
        <v>83</v>
      </c>
      <c r="D335" s="5" t="s">
        <v>84</v>
      </c>
      <c r="E335" s="5" t="s">
        <v>113</v>
      </c>
      <c r="F335" s="5" t="n">
        <v>34</v>
      </c>
      <c r="G335" s="6" t="n">
        <v>-0.320724824822439</v>
      </c>
      <c r="H335" s="6" t="n">
        <v>0.216663092896082</v>
      </c>
      <c r="I335" s="7" t="n">
        <v>0.138795113561348</v>
      </c>
      <c r="J335" s="6" t="n">
        <f aca="false">EXP(G335)</f>
        <v>0.725622896929583</v>
      </c>
      <c r="K335" s="6" t="n">
        <f aca="false">EXP(G335-1.96*H335)</f>
        <v>0.474551805906724</v>
      </c>
      <c r="L335" s="6" t="n">
        <f aca="false">EXP(G335+1.96*H335)</f>
        <v>1.10952815265858</v>
      </c>
      <c r="M335" s="5" t="s">
        <v>78</v>
      </c>
      <c r="N335" s="5"/>
    </row>
    <row r="336" customFormat="false" ht="15" hidden="false" customHeight="true" outlineLevel="0" collapsed="false">
      <c r="A336" s="5" t="s">
        <v>131</v>
      </c>
      <c r="B336" s="5" t="s">
        <v>132</v>
      </c>
      <c r="C336" s="5" t="s">
        <v>83</v>
      </c>
      <c r="D336" s="5" t="s">
        <v>84</v>
      </c>
      <c r="E336" s="5" t="s">
        <v>114</v>
      </c>
      <c r="F336" s="5" t="n">
        <v>34</v>
      </c>
      <c r="G336" s="6" t="n">
        <v>-0.513957510767479</v>
      </c>
      <c r="H336" s="6" t="n">
        <v>0.401787312858527</v>
      </c>
      <c r="I336" s="7" t="n">
        <v>0.209756211159563</v>
      </c>
      <c r="J336" s="6" t="n">
        <f aca="false">EXP(G336)</f>
        <v>0.598123807344389</v>
      </c>
      <c r="K336" s="6" t="n">
        <f aca="false">EXP(G336-1.96*H336)</f>
        <v>0.272134011693012</v>
      </c>
      <c r="L336" s="6" t="n">
        <f aca="false">EXP(G336+1.96*H336)</f>
        <v>1.31461733388813</v>
      </c>
      <c r="M336" s="5" t="s">
        <v>78</v>
      </c>
      <c r="N336" s="5"/>
    </row>
    <row r="337" customFormat="false" ht="15" hidden="false" customHeight="true" outlineLevel="0" collapsed="false">
      <c r="A337" s="5" t="s">
        <v>131</v>
      </c>
      <c r="B337" s="5" t="s">
        <v>132</v>
      </c>
      <c r="C337" s="5" t="s">
        <v>83</v>
      </c>
      <c r="D337" s="5" t="s">
        <v>84</v>
      </c>
      <c r="E337" s="5" t="s">
        <v>115</v>
      </c>
      <c r="F337" s="5" t="n">
        <v>34</v>
      </c>
      <c r="G337" s="6" t="n">
        <v>-0.513957510767479</v>
      </c>
      <c r="H337" s="6" t="n">
        <v>0.436640393533903</v>
      </c>
      <c r="I337" s="7" t="n">
        <v>0.247586815810435</v>
      </c>
      <c r="J337" s="6" t="n">
        <f aca="false">EXP(G337)</f>
        <v>0.598123807344389</v>
      </c>
      <c r="K337" s="6" t="n">
        <f aca="false">EXP(G337-1.96*H337)</f>
        <v>0.254164729180551</v>
      </c>
      <c r="L337" s="6" t="n">
        <f aca="false">EXP(G337+1.96*H337)</f>
        <v>1.40755993196055</v>
      </c>
      <c r="M337" s="5" t="s">
        <v>78</v>
      </c>
      <c r="N337" s="5" t="s">
        <v>116</v>
      </c>
    </row>
    <row r="338" customFormat="false" ht="15" hidden="false" customHeight="true" outlineLevel="0" collapsed="false">
      <c r="A338" s="5" t="s">
        <v>131</v>
      </c>
      <c r="B338" s="5" t="s">
        <v>132</v>
      </c>
      <c r="C338" s="5" t="s">
        <v>83</v>
      </c>
      <c r="D338" s="5" t="s">
        <v>84</v>
      </c>
      <c r="E338" s="5" t="s">
        <v>117</v>
      </c>
      <c r="F338" s="5" t="n">
        <v>34</v>
      </c>
      <c r="G338" s="6" t="n">
        <v>-0.362565874974231</v>
      </c>
      <c r="H338" s="6" t="n">
        <v>0.294685709588975</v>
      </c>
      <c r="I338" s="7" t="n">
        <v>0.22726552893347</v>
      </c>
      <c r="J338" s="6" t="n">
        <f aca="false">EXP(G338)</f>
        <v>0.695888470533637</v>
      </c>
      <c r="K338" s="6" t="n">
        <f aca="false">EXP(G338-1.96*H338)</f>
        <v>0.390569298004212</v>
      </c>
      <c r="L338" s="6" t="n">
        <f aca="false">EXP(G338+1.96*H338)</f>
        <v>1.23988435828466</v>
      </c>
      <c r="M338" s="5" t="s">
        <v>78</v>
      </c>
      <c r="N338" s="5"/>
    </row>
    <row r="339" customFormat="false" ht="15" hidden="false" customHeight="true" outlineLevel="0" collapsed="false">
      <c r="A339" s="5" t="s">
        <v>131</v>
      </c>
      <c r="B339" s="5" t="s">
        <v>132</v>
      </c>
      <c r="C339" s="5" t="s">
        <v>83</v>
      </c>
      <c r="D339" s="5" t="s">
        <v>84</v>
      </c>
      <c r="E339" s="5" t="s">
        <v>118</v>
      </c>
      <c r="F339" s="5" t="n">
        <v>34</v>
      </c>
      <c r="G339" s="6" t="n">
        <v>-0.362565874974231</v>
      </c>
      <c r="H339" s="6" t="n">
        <v>0.287669753400267</v>
      </c>
      <c r="I339" s="7" t="n">
        <v>0.216381021863388</v>
      </c>
      <c r="J339" s="6" t="n">
        <f aca="false">EXP(G339)</f>
        <v>0.695888470533637</v>
      </c>
      <c r="K339" s="6" t="n">
        <f aca="false">EXP(G339-1.96*H339)</f>
        <v>0.395977221186375</v>
      </c>
      <c r="L339" s="6" t="n">
        <f aca="false">EXP(G339+1.96*H339)</f>
        <v>1.22295106261609</v>
      </c>
      <c r="M339" s="5" t="s">
        <v>78</v>
      </c>
      <c r="N339" s="5" t="s">
        <v>119</v>
      </c>
    </row>
    <row r="340" customFormat="false" ht="15" hidden="false" customHeight="true" outlineLevel="0" collapsed="false">
      <c r="A340" s="5" t="s">
        <v>131</v>
      </c>
      <c r="B340" s="5" t="s">
        <v>132</v>
      </c>
      <c r="C340" s="5" t="s">
        <v>83</v>
      </c>
      <c r="D340" s="5" t="s">
        <v>84</v>
      </c>
      <c r="E340" s="5" t="s">
        <v>120</v>
      </c>
      <c r="F340" s="5" t="n">
        <v>34</v>
      </c>
      <c r="G340" s="6" t="n">
        <v>-0.366343565520426</v>
      </c>
      <c r="H340" s="6" t="n">
        <v>0.165743485223146</v>
      </c>
      <c r="I340" s="7" t="n">
        <v>0.0270840389213869</v>
      </c>
      <c r="J340" s="6" t="n">
        <f aca="false">EXP(G340)</f>
        <v>0.693264578483842</v>
      </c>
      <c r="K340" s="6" t="n">
        <f aca="false">EXP(G340-1.96*H340)</f>
        <v>0.500974139718522</v>
      </c>
      <c r="L340" s="6" t="n">
        <f aca="false">EXP(G340+1.96*H340)</f>
        <v>0.959362445435644</v>
      </c>
      <c r="M340" s="5" t="s">
        <v>78</v>
      </c>
      <c r="N340" s="5"/>
    </row>
    <row r="341" customFormat="false" ht="15" hidden="false" customHeight="true" outlineLevel="0" collapsed="false">
      <c r="A341" s="5" t="s">
        <v>131</v>
      </c>
      <c r="B341" s="5" t="s">
        <v>132</v>
      </c>
      <c r="C341" s="5" t="s">
        <v>83</v>
      </c>
      <c r="D341" s="5" t="s">
        <v>84</v>
      </c>
      <c r="E341" s="5" t="s">
        <v>121</v>
      </c>
      <c r="F341" s="5" t="n">
        <v>34</v>
      </c>
      <c r="G341" s="6" t="n">
        <v>-0.446034147747276</v>
      </c>
      <c r="H341" s="6" t="n">
        <v>0.298372774331985</v>
      </c>
      <c r="I341" s="7" t="n">
        <v>0.144740570786741</v>
      </c>
      <c r="J341" s="6" t="n">
        <f aca="false">EXP(G341)</f>
        <v>0.640161911601233</v>
      </c>
      <c r="K341" s="6" t="n">
        <f aca="false">EXP(G341-1.96*H341)</f>
        <v>0.356705493642969</v>
      </c>
      <c r="L341" s="6" t="n">
        <f aca="false">EXP(G341+1.96*H341)</f>
        <v>1.1488672879121</v>
      </c>
      <c r="M341" s="5" t="s">
        <v>78</v>
      </c>
      <c r="N341" s="5"/>
    </row>
    <row r="342" customFormat="false" ht="15" hidden="false" customHeight="true" outlineLevel="0" collapsed="false">
      <c r="A342" s="5" t="s">
        <v>131</v>
      </c>
      <c r="B342" s="5" t="s">
        <v>132</v>
      </c>
      <c r="C342" s="5" t="s">
        <v>83</v>
      </c>
      <c r="D342" s="5" t="s">
        <v>84</v>
      </c>
      <c r="E342" s="5" t="s">
        <v>122</v>
      </c>
      <c r="F342" s="5" t="n">
        <v>34</v>
      </c>
      <c r="G342" s="6" t="n">
        <v>-0.556544698049315</v>
      </c>
      <c r="H342" s="6" t="n">
        <v>4.58310438805429</v>
      </c>
      <c r="I342" s="7" t="n">
        <v>0.903347288069138</v>
      </c>
      <c r="J342" s="6" t="n">
        <f aca="false">EXP(G342)</f>
        <v>0.573186177436518</v>
      </c>
      <c r="K342" s="6" t="s">
        <v>81</v>
      </c>
      <c r="L342" s="6" t="s">
        <v>81</v>
      </c>
      <c r="M342" s="5" t="s">
        <v>78</v>
      </c>
      <c r="N342" s="5" t="s">
        <v>123</v>
      </c>
    </row>
    <row r="343" customFormat="false" ht="15" hidden="false" customHeight="true" outlineLevel="0" collapsed="false">
      <c r="A343" s="5" t="s">
        <v>131</v>
      </c>
      <c r="B343" s="5" t="s">
        <v>132</v>
      </c>
      <c r="C343" s="5" t="s">
        <v>83</v>
      </c>
      <c r="D343" s="5" t="s">
        <v>84</v>
      </c>
      <c r="E343" s="5" t="s">
        <v>124</v>
      </c>
      <c r="F343" s="5" t="n">
        <v>34</v>
      </c>
      <c r="G343" s="6" t="n">
        <v>-0.352941176470588</v>
      </c>
      <c r="H343" s="6"/>
      <c r="I343" s="7" t="n">
        <v>0.0576126729138197</v>
      </c>
      <c r="J343" s="6" t="n">
        <f aca="false">EXP(G343)</f>
        <v>0.702618522662996</v>
      </c>
      <c r="K343" s="6" t="s">
        <v>81</v>
      </c>
      <c r="L343" s="6" t="s">
        <v>81</v>
      </c>
      <c r="M343" s="5" t="s">
        <v>78</v>
      </c>
      <c r="N343" s="5" t="s">
        <v>125</v>
      </c>
    </row>
    <row r="344" customFormat="false" ht="15" hidden="false" customHeight="true" outlineLevel="0" collapsed="false">
      <c r="A344" s="5" t="s">
        <v>131</v>
      </c>
      <c r="B344" s="5" t="s">
        <v>132</v>
      </c>
      <c r="C344" s="5" t="s">
        <v>86</v>
      </c>
      <c r="D344" s="5" t="s">
        <v>87</v>
      </c>
      <c r="E344" s="5" t="s">
        <v>100</v>
      </c>
      <c r="F344" s="5" t="n">
        <v>34</v>
      </c>
      <c r="G344" s="6" t="n">
        <v>0.0134987543448693</v>
      </c>
      <c r="H344" s="6" t="n">
        <v>0.0697531751708432</v>
      </c>
      <c r="I344" s="7" t="n">
        <v>0.846550398464779</v>
      </c>
      <c r="J344" s="6" t="n">
        <f aca="false">EXP(G344)</f>
        <v>1.01359027386549</v>
      </c>
      <c r="K344" s="6" t="n">
        <f aca="false">EXP(G344-1.96*H344)</f>
        <v>0.884071383543365</v>
      </c>
      <c r="L344" s="6" t="n">
        <f aca="false">EXP(G344+1.96*H344)</f>
        <v>1.16208403800725</v>
      </c>
      <c r="M344" s="5" t="s">
        <v>78</v>
      </c>
      <c r="N344" s="5"/>
    </row>
    <row r="345" customFormat="false" ht="15" hidden="false" customHeight="true" outlineLevel="0" collapsed="false">
      <c r="A345" s="5" t="s">
        <v>131</v>
      </c>
      <c r="B345" s="5" t="s">
        <v>132</v>
      </c>
      <c r="C345" s="5" t="s">
        <v>86</v>
      </c>
      <c r="D345" s="5" t="s">
        <v>87</v>
      </c>
      <c r="E345" s="5" t="s">
        <v>101</v>
      </c>
      <c r="F345" s="5" t="n">
        <v>34</v>
      </c>
      <c r="G345" s="6" t="n">
        <v>0.0134987543448693</v>
      </c>
      <c r="H345" s="6" t="n">
        <v>0.0697531751708432</v>
      </c>
      <c r="I345" s="7" t="n">
        <v>0.846550398464779</v>
      </c>
      <c r="J345" s="6" t="n">
        <f aca="false">EXP(G345)</f>
        <v>1.01359027386549</v>
      </c>
      <c r="K345" s="6" t="n">
        <f aca="false">EXP(G345-1.96*H345)</f>
        <v>0.884071383543365</v>
      </c>
      <c r="L345" s="6" t="n">
        <f aca="false">EXP(G345+1.96*H345)</f>
        <v>1.16208403800725</v>
      </c>
      <c r="M345" s="5" t="s">
        <v>78</v>
      </c>
      <c r="N345" s="5" t="s">
        <v>102</v>
      </c>
    </row>
    <row r="346" customFormat="false" ht="15" hidden="false" customHeight="true" outlineLevel="0" collapsed="false">
      <c r="A346" s="5" t="s">
        <v>131</v>
      </c>
      <c r="B346" s="5" t="s">
        <v>132</v>
      </c>
      <c r="C346" s="5" t="s">
        <v>86</v>
      </c>
      <c r="D346" s="5" t="s">
        <v>87</v>
      </c>
      <c r="E346" s="5" t="s">
        <v>103</v>
      </c>
      <c r="F346" s="5" t="n">
        <v>34</v>
      </c>
      <c r="G346" s="6" t="n">
        <v>0.0134987543448693</v>
      </c>
      <c r="H346" s="6" t="n">
        <v>0.0464674962240292</v>
      </c>
      <c r="I346" s="7" t="n">
        <v>0.771434628304218</v>
      </c>
      <c r="J346" s="6" t="n">
        <f aca="false">EXP(G346)</f>
        <v>1.01359027386549</v>
      </c>
      <c r="K346" s="6" t="n">
        <f aca="false">EXP(G346-1.96*H346)</f>
        <v>0.925355271182595</v>
      </c>
      <c r="L346" s="6" t="n">
        <f aca="false">EXP(G346+1.96*H346)</f>
        <v>1.11023871076215</v>
      </c>
      <c r="M346" s="5" t="s">
        <v>78</v>
      </c>
      <c r="N346" s="5" t="s">
        <v>104</v>
      </c>
    </row>
    <row r="347" customFormat="false" ht="15" hidden="false" customHeight="true" outlineLevel="0" collapsed="false">
      <c r="A347" s="5" t="s">
        <v>131</v>
      </c>
      <c r="B347" s="5" t="s">
        <v>132</v>
      </c>
      <c r="C347" s="5" t="s">
        <v>86</v>
      </c>
      <c r="D347" s="5" t="s">
        <v>87</v>
      </c>
      <c r="E347" s="5" t="s">
        <v>105</v>
      </c>
      <c r="F347" s="5" t="n">
        <v>34</v>
      </c>
      <c r="G347" s="6" t="n">
        <v>0.0134973142362138</v>
      </c>
      <c r="H347" s="6" t="n">
        <v>0.0697544211104223</v>
      </c>
      <c r="I347" s="7" t="n">
        <v>0.846569272418009</v>
      </c>
      <c r="J347" s="6" t="n">
        <f aca="false">EXP(G347)</f>
        <v>1.01358881418642</v>
      </c>
      <c r="K347" s="6" t="n">
        <f aca="false">EXP(G347-1.96*H347)</f>
        <v>0.884067951452101</v>
      </c>
      <c r="L347" s="6" t="n">
        <f aca="false">EXP(G347+1.96*H347)</f>
        <v>1.16208520233809</v>
      </c>
      <c r="M347" s="5" t="s">
        <v>78</v>
      </c>
      <c r="N347" s="5" t="s">
        <v>106</v>
      </c>
    </row>
    <row r="348" customFormat="false" ht="15" hidden="false" customHeight="true" outlineLevel="0" collapsed="false">
      <c r="A348" s="5" t="s">
        <v>131</v>
      </c>
      <c r="B348" s="5" t="s">
        <v>132</v>
      </c>
      <c r="C348" s="5" t="s">
        <v>86</v>
      </c>
      <c r="D348" s="5" t="s">
        <v>87</v>
      </c>
      <c r="E348" s="5" t="s">
        <v>107</v>
      </c>
      <c r="F348" s="5" t="n">
        <v>34</v>
      </c>
      <c r="G348" s="6" t="n">
        <v>0.013956174933521</v>
      </c>
      <c r="H348" s="6" t="n">
        <v>0.0467532289535225</v>
      </c>
      <c r="I348" s="7" t="n">
        <v>0.765316090359457</v>
      </c>
      <c r="J348" s="6" t="n">
        <f aca="false">EXP(G348)</f>
        <v>1.01405401697996</v>
      </c>
      <c r="K348" s="6" t="n">
        <f aca="false">EXP(G348-1.96*H348)</f>
        <v>0.925260320203982</v>
      </c>
      <c r="L348" s="6" t="n">
        <f aca="false">EXP(G348+1.96*H348)</f>
        <v>1.11136890548434</v>
      </c>
      <c r="M348" s="5" t="s">
        <v>78</v>
      </c>
      <c r="N348" s="5"/>
    </row>
    <row r="349" customFormat="false" ht="15" hidden="false" customHeight="true" outlineLevel="0" collapsed="false">
      <c r="A349" s="5" t="s">
        <v>131</v>
      </c>
      <c r="B349" s="5" t="s">
        <v>132</v>
      </c>
      <c r="C349" s="5" t="s">
        <v>86</v>
      </c>
      <c r="D349" s="5" t="s">
        <v>87</v>
      </c>
      <c r="E349" s="5" t="s">
        <v>108</v>
      </c>
      <c r="F349" s="5" t="n">
        <v>34</v>
      </c>
      <c r="G349" s="6" t="n">
        <v>0.0317363000984209</v>
      </c>
      <c r="H349" s="6" t="n">
        <v>0.0899511477715953</v>
      </c>
      <c r="I349" s="7" t="n">
        <v>0.726539058720744</v>
      </c>
      <c r="J349" s="6" t="n">
        <f aca="false">EXP(G349)</f>
        <v>1.03224526643685</v>
      </c>
      <c r="K349" s="6" t="n">
        <f aca="false">EXP(G349-1.96*H349)</f>
        <v>0.86539610714311</v>
      </c>
      <c r="L349" s="6" t="n">
        <f aca="false">EXP(G349+1.96*H349)</f>
        <v>1.23126309592363</v>
      </c>
      <c r="M349" s="5" t="s">
        <v>78</v>
      </c>
      <c r="N349" s="5"/>
    </row>
    <row r="350" customFormat="false" ht="15" hidden="false" customHeight="true" outlineLevel="0" collapsed="false">
      <c r="A350" s="5" t="s">
        <v>131</v>
      </c>
      <c r="B350" s="5" t="s">
        <v>132</v>
      </c>
      <c r="C350" s="5" t="s">
        <v>86</v>
      </c>
      <c r="D350" s="5" t="s">
        <v>87</v>
      </c>
      <c r="E350" s="5" t="s">
        <v>109</v>
      </c>
      <c r="F350" s="5" t="n">
        <v>34</v>
      </c>
      <c r="G350" s="6" t="n">
        <v>0.0646264796022119</v>
      </c>
      <c r="H350" s="6" t="n">
        <v>0.0644429446362516</v>
      </c>
      <c r="I350" s="7" t="n">
        <v>0.152</v>
      </c>
      <c r="J350" s="6" t="n">
        <f aca="false">EXP(G350)</f>
        <v>1.06676049315531</v>
      </c>
      <c r="K350" s="6" t="n">
        <f aca="false">EXP(G350-1.96*H350)</f>
        <v>0.940182106760799</v>
      </c>
      <c r="L350" s="6" t="n">
        <f aca="false">EXP(G350+1.96*H350)</f>
        <v>1.21038035245918</v>
      </c>
      <c r="M350" s="5" t="s">
        <v>78</v>
      </c>
      <c r="N350" s="5" t="s">
        <v>110</v>
      </c>
    </row>
    <row r="351" customFormat="false" ht="15" hidden="false" customHeight="true" outlineLevel="0" collapsed="false">
      <c r="A351" s="5" t="s">
        <v>131</v>
      </c>
      <c r="B351" s="5" t="s">
        <v>132</v>
      </c>
      <c r="C351" s="5" t="s">
        <v>86</v>
      </c>
      <c r="D351" s="5" t="s">
        <v>87</v>
      </c>
      <c r="E351" s="5" t="s">
        <v>111</v>
      </c>
      <c r="F351" s="5" t="n">
        <v>34</v>
      </c>
      <c r="G351" s="6" t="n">
        <v>-0.0315637549782898</v>
      </c>
      <c r="H351" s="6" t="n">
        <v>0.11202015110422</v>
      </c>
      <c r="I351" s="7" t="n">
        <v>0.778120991572923</v>
      </c>
      <c r="J351" s="6" t="n">
        <f aca="false">EXP(G351)</f>
        <v>0.968929180425634</v>
      </c>
      <c r="K351" s="6" t="n">
        <f aca="false">EXP(G351-1.96*H351)</f>
        <v>0.77792648532189</v>
      </c>
      <c r="L351" s="6" t="n">
        <f aca="false">EXP(G351+1.96*H351)</f>
        <v>1.20682837568106</v>
      </c>
      <c r="M351" s="5" t="s">
        <v>78</v>
      </c>
      <c r="N351" s="5"/>
    </row>
    <row r="352" customFormat="false" ht="15" hidden="false" customHeight="true" outlineLevel="0" collapsed="false">
      <c r="A352" s="5" t="s">
        <v>131</v>
      </c>
      <c r="B352" s="5" t="s">
        <v>132</v>
      </c>
      <c r="C352" s="5" t="s">
        <v>86</v>
      </c>
      <c r="D352" s="5" t="s">
        <v>87</v>
      </c>
      <c r="E352" s="5" t="s">
        <v>112</v>
      </c>
      <c r="F352" s="5" t="n">
        <v>34</v>
      </c>
      <c r="G352" s="6" t="n">
        <v>0.0484787304698343</v>
      </c>
      <c r="H352" s="6" t="n">
        <v>0.0529253201861867</v>
      </c>
      <c r="I352" s="7" t="n">
        <v>0.359675445606004</v>
      </c>
      <c r="J352" s="6" t="n">
        <f aca="false">EXP(G352)</f>
        <v>1.04967304553039</v>
      </c>
      <c r="K352" s="6" t="n">
        <f aca="false">EXP(G352-1.96*H352)</f>
        <v>0.946243922383878</v>
      </c>
      <c r="L352" s="6" t="n">
        <f aca="false">EXP(G352+1.96*H352)</f>
        <v>1.16440748146337</v>
      </c>
      <c r="M352" s="5" t="s">
        <v>78</v>
      </c>
      <c r="N352" s="5"/>
    </row>
    <row r="353" customFormat="false" ht="15" hidden="false" customHeight="true" outlineLevel="0" collapsed="false">
      <c r="A353" s="5" t="s">
        <v>131</v>
      </c>
      <c r="B353" s="5" t="s">
        <v>132</v>
      </c>
      <c r="C353" s="5" t="s">
        <v>86</v>
      </c>
      <c r="D353" s="5" t="s">
        <v>87</v>
      </c>
      <c r="E353" s="5" t="s">
        <v>113</v>
      </c>
      <c r="F353" s="5" t="n">
        <v>34</v>
      </c>
      <c r="G353" s="6" t="n">
        <v>0.0495734760591775</v>
      </c>
      <c r="H353" s="6" t="n">
        <v>0.0520164165641438</v>
      </c>
      <c r="I353" s="7" t="n">
        <v>0.340572235294263</v>
      </c>
      <c r="J353" s="6" t="n">
        <f aca="false">EXP(G353)</f>
        <v>1.05082279969655</v>
      </c>
      <c r="K353" s="6" t="n">
        <f aca="false">EXP(G353-1.96*H353)</f>
        <v>0.948969423680004</v>
      </c>
      <c r="L353" s="6" t="n">
        <f aca="false">EXP(G353+1.96*H353)</f>
        <v>1.16360815091389</v>
      </c>
      <c r="M353" s="5" t="s">
        <v>78</v>
      </c>
      <c r="N353" s="5"/>
    </row>
    <row r="354" customFormat="false" ht="15" hidden="false" customHeight="true" outlineLevel="0" collapsed="false">
      <c r="A354" s="5" t="s">
        <v>131</v>
      </c>
      <c r="B354" s="5" t="s">
        <v>132</v>
      </c>
      <c r="C354" s="5" t="s">
        <v>86</v>
      </c>
      <c r="D354" s="5" t="s">
        <v>87</v>
      </c>
      <c r="E354" s="5" t="s">
        <v>114</v>
      </c>
      <c r="F354" s="5" t="n">
        <v>34</v>
      </c>
      <c r="G354" s="6" t="n">
        <v>0.0126457711386988</v>
      </c>
      <c r="H354" s="6" t="n">
        <v>0.179488457831618</v>
      </c>
      <c r="I354" s="7" t="n">
        <v>0.944257145172978</v>
      </c>
      <c r="J354" s="6" t="n">
        <f aca="false">EXP(G354)</f>
        <v>1.01272606701331</v>
      </c>
      <c r="K354" s="6" t="n">
        <f aca="false">EXP(G354-1.96*H354)</f>
        <v>0.71237444051208</v>
      </c>
      <c r="L354" s="6" t="n">
        <f aca="false">EXP(G354+1.96*H354)</f>
        <v>1.43971207904513</v>
      </c>
      <c r="M354" s="5" t="s">
        <v>78</v>
      </c>
      <c r="N354" s="5"/>
    </row>
    <row r="355" customFormat="false" ht="15" hidden="false" customHeight="true" outlineLevel="0" collapsed="false">
      <c r="A355" s="5" t="s">
        <v>131</v>
      </c>
      <c r="B355" s="5" t="s">
        <v>132</v>
      </c>
      <c r="C355" s="5" t="s">
        <v>86</v>
      </c>
      <c r="D355" s="5" t="s">
        <v>87</v>
      </c>
      <c r="E355" s="5" t="s">
        <v>115</v>
      </c>
      <c r="F355" s="5" t="n">
        <v>34</v>
      </c>
      <c r="G355" s="6" t="n">
        <v>0.0126457711386988</v>
      </c>
      <c r="H355" s="6" t="n">
        <v>0.181351156537794</v>
      </c>
      <c r="I355" s="7" t="n">
        <v>0.944828732290939</v>
      </c>
      <c r="J355" s="6" t="n">
        <f aca="false">EXP(G355)</f>
        <v>1.01272606701331</v>
      </c>
      <c r="K355" s="6" t="n">
        <f aca="false">EXP(G355-1.96*H355)</f>
        <v>0.709778382017589</v>
      </c>
      <c r="L355" s="6" t="n">
        <f aca="false">EXP(G355+1.96*H355)</f>
        <v>1.44497791534998</v>
      </c>
      <c r="M355" s="5" t="s">
        <v>78</v>
      </c>
      <c r="N355" s="5" t="s">
        <v>116</v>
      </c>
    </row>
    <row r="356" customFormat="false" ht="15" hidden="false" customHeight="true" outlineLevel="0" collapsed="false">
      <c r="A356" s="5" t="s">
        <v>131</v>
      </c>
      <c r="B356" s="5" t="s">
        <v>132</v>
      </c>
      <c r="C356" s="5" t="s">
        <v>86</v>
      </c>
      <c r="D356" s="5" t="s">
        <v>87</v>
      </c>
      <c r="E356" s="5" t="s">
        <v>117</v>
      </c>
      <c r="F356" s="5" t="n">
        <v>34</v>
      </c>
      <c r="G356" s="6" t="n">
        <v>0.0580431984941668</v>
      </c>
      <c r="H356" s="6" t="n">
        <v>0.052575531026898</v>
      </c>
      <c r="I356" s="7" t="n">
        <v>0.277580011280868</v>
      </c>
      <c r="J356" s="6" t="n">
        <f aca="false">EXP(G356)</f>
        <v>1.05976077479113</v>
      </c>
      <c r="K356" s="6" t="n">
        <f aca="false">EXP(G356-1.96*H356)</f>
        <v>0.955992852599965</v>
      </c>
      <c r="L356" s="6" t="n">
        <f aca="false">EXP(G356+1.96*H356)</f>
        <v>1.17479215114578</v>
      </c>
      <c r="M356" s="5" t="s">
        <v>78</v>
      </c>
      <c r="N356" s="5"/>
    </row>
    <row r="357" customFormat="false" ht="15" hidden="false" customHeight="true" outlineLevel="0" collapsed="false">
      <c r="A357" s="5" t="s">
        <v>131</v>
      </c>
      <c r="B357" s="5" t="s">
        <v>132</v>
      </c>
      <c r="C357" s="5" t="s">
        <v>86</v>
      </c>
      <c r="D357" s="5" t="s">
        <v>87</v>
      </c>
      <c r="E357" s="5" t="s">
        <v>118</v>
      </c>
      <c r="F357" s="5" t="n">
        <v>34</v>
      </c>
      <c r="G357" s="6" t="n">
        <v>0.0580431984941668</v>
      </c>
      <c r="H357" s="6" t="n">
        <v>0.0520066350584149</v>
      </c>
      <c r="I357" s="7" t="n">
        <v>0.272452068716021</v>
      </c>
      <c r="J357" s="6" t="n">
        <f aca="false">EXP(G357)</f>
        <v>1.05976077479113</v>
      </c>
      <c r="K357" s="6" t="n">
        <f aca="false">EXP(G357-1.96*H357)</f>
        <v>0.957059413656795</v>
      </c>
      <c r="L357" s="6" t="n">
        <f aca="false">EXP(G357+1.96*H357)</f>
        <v>1.17348294553075</v>
      </c>
      <c r="M357" s="5" t="s">
        <v>78</v>
      </c>
      <c r="N357" s="5" t="s">
        <v>119</v>
      </c>
    </row>
    <row r="358" customFormat="false" ht="15" hidden="false" customHeight="true" outlineLevel="0" collapsed="false">
      <c r="A358" s="5" t="s">
        <v>131</v>
      </c>
      <c r="B358" s="5" t="s">
        <v>132</v>
      </c>
      <c r="C358" s="5" t="s">
        <v>86</v>
      </c>
      <c r="D358" s="5" t="s">
        <v>87</v>
      </c>
      <c r="E358" s="5" t="s">
        <v>120</v>
      </c>
      <c r="F358" s="5" t="n">
        <v>34</v>
      </c>
      <c r="G358" s="6" t="n">
        <v>0.0306892847700877</v>
      </c>
      <c r="H358" s="6" t="n">
        <v>0.0584610996244206</v>
      </c>
      <c r="I358" s="7" t="n">
        <v>0.599616397627644</v>
      </c>
      <c r="J358" s="6" t="n">
        <f aca="false">EXP(G358)</f>
        <v>1.03116505541772</v>
      </c>
      <c r="K358" s="6" t="n">
        <f aca="false">EXP(G358-1.96*H358)</f>
        <v>0.919528288341379</v>
      </c>
      <c r="L358" s="6" t="n">
        <f aca="false">EXP(G358+1.96*H358)</f>
        <v>1.15635525844733</v>
      </c>
      <c r="M358" s="5" t="s">
        <v>78</v>
      </c>
      <c r="N358" s="5"/>
    </row>
    <row r="359" customFormat="false" ht="15" hidden="false" customHeight="true" outlineLevel="0" collapsed="false">
      <c r="A359" s="5" t="s">
        <v>131</v>
      </c>
      <c r="B359" s="5" t="s">
        <v>132</v>
      </c>
      <c r="C359" s="5" t="s">
        <v>86</v>
      </c>
      <c r="D359" s="5" t="s">
        <v>87</v>
      </c>
      <c r="E359" s="5" t="s">
        <v>121</v>
      </c>
      <c r="F359" s="5" t="n">
        <v>34</v>
      </c>
      <c r="G359" s="6" t="n">
        <v>0.016100679667281</v>
      </c>
      <c r="H359" s="6" t="n">
        <v>0.080221199936292</v>
      </c>
      <c r="I359" s="7" t="n">
        <v>0.842200592893375</v>
      </c>
      <c r="J359" s="6" t="n">
        <f aca="false">EXP(G359)</f>
        <v>1.01623099405417</v>
      </c>
      <c r="K359" s="6" t="n">
        <f aca="false">EXP(G359-1.96*H359)</f>
        <v>0.868373921271587</v>
      </c>
      <c r="L359" s="6" t="n">
        <f aca="false">EXP(G359+1.96*H359)</f>
        <v>1.189263528048</v>
      </c>
      <c r="M359" s="5" t="s">
        <v>78</v>
      </c>
      <c r="N359" s="5"/>
    </row>
    <row r="360" customFormat="false" ht="15" hidden="false" customHeight="true" outlineLevel="0" collapsed="false">
      <c r="A360" s="5" t="s">
        <v>131</v>
      </c>
      <c r="B360" s="5" t="s">
        <v>132</v>
      </c>
      <c r="C360" s="5" t="s">
        <v>86</v>
      </c>
      <c r="D360" s="5" t="s">
        <v>87</v>
      </c>
      <c r="E360" s="5" t="s">
        <v>122</v>
      </c>
      <c r="F360" s="5" t="n">
        <v>34</v>
      </c>
      <c r="G360" s="6" t="n">
        <v>-0.0943733633172301</v>
      </c>
      <c r="H360" s="6" t="n">
        <v>4.58310438805429</v>
      </c>
      <c r="I360" s="7" t="n">
        <v>0.983571456766693</v>
      </c>
      <c r="J360" s="6" t="n">
        <f aca="false">EXP(G360)</f>
        <v>0.909942959487928</v>
      </c>
      <c r="K360" s="6" t="s">
        <v>81</v>
      </c>
      <c r="L360" s="6" t="s">
        <v>81</v>
      </c>
      <c r="M360" s="5" t="s">
        <v>78</v>
      </c>
      <c r="N360" s="5" t="s">
        <v>123</v>
      </c>
    </row>
    <row r="361" customFormat="false" ht="15" hidden="false" customHeight="true" outlineLevel="0" collapsed="false">
      <c r="A361" s="5" t="s">
        <v>131</v>
      </c>
      <c r="B361" s="5" t="s">
        <v>132</v>
      </c>
      <c r="C361" s="5" t="s">
        <v>86</v>
      </c>
      <c r="D361" s="5" t="s">
        <v>87</v>
      </c>
      <c r="E361" s="5" t="s">
        <v>124</v>
      </c>
      <c r="F361" s="5" t="n">
        <v>34</v>
      </c>
      <c r="G361" s="6" t="n">
        <v>-0.0588235294117647</v>
      </c>
      <c r="H361" s="6"/>
      <c r="I361" s="7" t="n">
        <v>0.864166240440682</v>
      </c>
      <c r="J361" s="6" t="n">
        <f aca="false">EXP(G361)</f>
        <v>0.942873143854875</v>
      </c>
      <c r="K361" s="6" t="s">
        <v>81</v>
      </c>
      <c r="L361" s="6" t="s">
        <v>81</v>
      </c>
      <c r="M361" s="5" t="s">
        <v>78</v>
      </c>
      <c r="N361" s="5" t="s">
        <v>125</v>
      </c>
    </row>
    <row r="362" customFormat="false" ht="15" hidden="false" customHeight="true" outlineLevel="0" collapsed="false">
      <c r="A362" s="5" t="s">
        <v>133</v>
      </c>
      <c r="B362" s="5" t="s">
        <v>134</v>
      </c>
      <c r="C362" s="5" t="s">
        <v>75</v>
      </c>
      <c r="D362" s="5" t="s">
        <v>76</v>
      </c>
      <c r="E362" s="5" t="s">
        <v>100</v>
      </c>
      <c r="F362" s="5" t="n">
        <v>80</v>
      </c>
      <c r="G362" s="6" t="n">
        <v>-0.00172920722115639</v>
      </c>
      <c r="H362" s="6" t="n">
        <v>0.0611829156231492</v>
      </c>
      <c r="I362" s="7" t="n">
        <v>0.977452462523582</v>
      </c>
      <c r="J362" s="6" t="n">
        <f aca="false">EXP(G362)</f>
        <v>0.998272286996256</v>
      </c>
      <c r="K362" s="6" t="n">
        <f aca="false">EXP(G362-1.96*H362)</f>
        <v>0.885460241868834</v>
      </c>
      <c r="L362" s="6" t="n">
        <f aca="false">EXP(G362+1.96*H362)</f>
        <v>1.1254571485688</v>
      </c>
      <c r="M362" s="5" t="s">
        <v>78</v>
      </c>
      <c r="N362" s="5"/>
    </row>
    <row r="363" customFormat="false" ht="15" hidden="false" customHeight="true" outlineLevel="0" collapsed="false">
      <c r="A363" s="5" t="s">
        <v>133</v>
      </c>
      <c r="B363" s="5" t="s">
        <v>134</v>
      </c>
      <c r="C363" s="5" t="s">
        <v>75</v>
      </c>
      <c r="D363" s="5" t="s">
        <v>76</v>
      </c>
      <c r="E363" s="5" t="s">
        <v>101</v>
      </c>
      <c r="F363" s="5" t="n">
        <v>80</v>
      </c>
      <c r="G363" s="6" t="n">
        <v>-0.00172920722115639</v>
      </c>
      <c r="H363" s="6" t="n">
        <v>0.0611829156231492</v>
      </c>
      <c r="I363" s="7" t="n">
        <v>0.977452462523582</v>
      </c>
      <c r="J363" s="6" t="n">
        <f aca="false">EXP(G363)</f>
        <v>0.998272286996256</v>
      </c>
      <c r="K363" s="6" t="n">
        <f aca="false">EXP(G363-1.96*H363)</f>
        <v>0.885460241868834</v>
      </c>
      <c r="L363" s="6" t="n">
        <f aca="false">EXP(G363+1.96*H363)</f>
        <v>1.1254571485688</v>
      </c>
      <c r="M363" s="5" t="s">
        <v>78</v>
      </c>
      <c r="N363" s="5" t="s">
        <v>102</v>
      </c>
    </row>
    <row r="364" customFormat="false" ht="15" hidden="false" customHeight="true" outlineLevel="0" collapsed="false">
      <c r="A364" s="5" t="s">
        <v>133</v>
      </c>
      <c r="B364" s="5" t="s">
        <v>134</v>
      </c>
      <c r="C364" s="5" t="s">
        <v>75</v>
      </c>
      <c r="D364" s="5" t="s">
        <v>76</v>
      </c>
      <c r="E364" s="5" t="s">
        <v>103</v>
      </c>
      <c r="F364" s="5" t="n">
        <v>80</v>
      </c>
      <c r="G364" s="6" t="n">
        <v>-0.00172920722115639</v>
      </c>
      <c r="H364" s="6" t="n">
        <v>0.0542343367780533</v>
      </c>
      <c r="I364" s="7" t="n">
        <v>0.974564563783266</v>
      </c>
      <c r="J364" s="6" t="n">
        <f aca="false">EXP(G364)</f>
        <v>0.998272286996256</v>
      </c>
      <c r="K364" s="6" t="n">
        <f aca="false">EXP(G364-1.96*H364)</f>
        <v>0.897602007850475</v>
      </c>
      <c r="L364" s="6" t="n">
        <f aca="false">EXP(G364+1.96*H364)</f>
        <v>1.11023321056423</v>
      </c>
      <c r="M364" s="5" t="s">
        <v>78</v>
      </c>
      <c r="N364" s="5" t="s">
        <v>104</v>
      </c>
    </row>
    <row r="365" customFormat="false" ht="15" hidden="false" customHeight="true" outlineLevel="0" collapsed="false">
      <c r="A365" s="5" t="s">
        <v>133</v>
      </c>
      <c r="B365" s="5" t="s">
        <v>134</v>
      </c>
      <c r="C365" s="5" t="s">
        <v>75</v>
      </c>
      <c r="D365" s="5" t="s">
        <v>76</v>
      </c>
      <c r="E365" s="5" t="s">
        <v>105</v>
      </c>
      <c r="F365" s="5" t="n">
        <v>80</v>
      </c>
      <c r="G365" s="6" t="n">
        <v>-0.00172920010645257</v>
      </c>
      <c r="H365" s="6" t="n">
        <v>0.0611829178403391</v>
      </c>
      <c r="I365" s="7" t="n">
        <v>0.977452556086044</v>
      </c>
      <c r="J365" s="6" t="n">
        <f aca="false">EXP(G365)</f>
        <v>0.998272294098668</v>
      </c>
      <c r="K365" s="6" t="n">
        <f aca="false">EXP(G365-1.96*H365)</f>
        <v>0.885460244320684</v>
      </c>
      <c r="L365" s="6" t="n">
        <f aca="false">EXP(G365+1.96*H365)</f>
        <v>1.12545716146698</v>
      </c>
      <c r="M365" s="5" t="s">
        <v>78</v>
      </c>
      <c r="N365" s="5" t="s">
        <v>106</v>
      </c>
    </row>
    <row r="366" customFormat="false" ht="15" hidden="false" customHeight="true" outlineLevel="0" collapsed="false">
      <c r="A366" s="5" t="s">
        <v>133</v>
      </c>
      <c r="B366" s="5" t="s">
        <v>134</v>
      </c>
      <c r="C366" s="5" t="s">
        <v>75</v>
      </c>
      <c r="D366" s="5" t="s">
        <v>76</v>
      </c>
      <c r="E366" s="5" t="s">
        <v>107</v>
      </c>
      <c r="F366" s="5" t="n">
        <v>80</v>
      </c>
      <c r="G366" s="6" t="n">
        <v>-0.0017454337708852</v>
      </c>
      <c r="H366" s="6" t="n">
        <v>0.0550780490532528</v>
      </c>
      <c r="I366" s="7" t="n">
        <v>0.974719119195908</v>
      </c>
      <c r="J366" s="6" t="n">
        <f aca="false">EXP(G366)</f>
        <v>0.99825608861277</v>
      </c>
      <c r="K366" s="6" t="n">
        <f aca="false">EXP(G366-1.96*H366)</f>
        <v>0.896104350734405</v>
      </c>
      <c r="L366" s="6" t="n">
        <f aca="false">EXP(G366+1.96*H366)</f>
        <v>1.11205265060455</v>
      </c>
      <c r="M366" s="5" t="s">
        <v>78</v>
      </c>
      <c r="N366" s="5"/>
    </row>
    <row r="367" customFormat="false" ht="15" hidden="false" customHeight="true" outlineLevel="0" collapsed="false">
      <c r="A367" s="5" t="s">
        <v>133</v>
      </c>
      <c r="B367" s="5" t="s">
        <v>134</v>
      </c>
      <c r="C367" s="5" t="s">
        <v>75</v>
      </c>
      <c r="D367" s="5" t="s">
        <v>76</v>
      </c>
      <c r="E367" s="5" t="s">
        <v>108</v>
      </c>
      <c r="F367" s="5" t="n">
        <v>80</v>
      </c>
      <c r="G367" s="6" t="n">
        <v>0.598695072280259</v>
      </c>
      <c r="H367" s="6" t="n">
        <v>0.306664884222469</v>
      </c>
      <c r="I367" s="7" t="n">
        <v>0.0544936165422093</v>
      </c>
      <c r="J367" s="6" t="n">
        <f aca="false">EXP(G367)</f>
        <v>1.81974261776969</v>
      </c>
      <c r="K367" s="6" t="n">
        <f aca="false">EXP(G367-1.96*H367)</f>
        <v>0.997634700942873</v>
      </c>
      <c r="L367" s="6" t="n">
        <f aca="false">EXP(G367+1.96*H367)</f>
        <v>3.31931436606765</v>
      </c>
      <c r="M367" s="5" t="s">
        <v>78</v>
      </c>
      <c r="N367" s="5"/>
    </row>
    <row r="368" customFormat="false" ht="15" hidden="false" customHeight="true" outlineLevel="0" collapsed="false">
      <c r="A368" s="5" t="s">
        <v>133</v>
      </c>
      <c r="B368" s="5" t="s">
        <v>134</v>
      </c>
      <c r="C368" s="5" t="s">
        <v>75</v>
      </c>
      <c r="D368" s="5" t="s">
        <v>76</v>
      </c>
      <c r="E368" s="5" t="s">
        <v>109</v>
      </c>
      <c r="F368" s="5" t="n">
        <v>80</v>
      </c>
      <c r="G368" s="6" t="n">
        <v>0.0283756455051163</v>
      </c>
      <c r="H368" s="6" t="n">
        <v>0.0978009098410765</v>
      </c>
      <c r="I368" s="7" t="n">
        <v>0.407</v>
      </c>
      <c r="J368" s="6" t="n">
        <f aca="false">EXP(G368)</f>
        <v>1.02878206920507</v>
      </c>
      <c r="K368" s="6" t="n">
        <f aca="false">EXP(G368-1.96*H368)</f>
        <v>0.849324341637393</v>
      </c>
      <c r="L368" s="6" t="n">
        <f aca="false">EXP(G368+1.96*H368)</f>
        <v>1.24615826255187</v>
      </c>
      <c r="M368" s="5" t="s">
        <v>78</v>
      </c>
      <c r="N368" s="5" t="s">
        <v>110</v>
      </c>
    </row>
    <row r="369" customFormat="false" ht="15" hidden="false" customHeight="true" outlineLevel="0" collapsed="false">
      <c r="A369" s="5" t="s">
        <v>133</v>
      </c>
      <c r="B369" s="5" t="s">
        <v>134</v>
      </c>
      <c r="C369" s="5" t="s">
        <v>75</v>
      </c>
      <c r="D369" s="5" t="s">
        <v>76</v>
      </c>
      <c r="E369" s="5" t="s">
        <v>111</v>
      </c>
      <c r="F369" s="5" t="n">
        <v>80</v>
      </c>
      <c r="G369" s="6" t="n">
        <v>0.0645033380329242</v>
      </c>
      <c r="H369" s="6" t="n">
        <v>0.0885955111419182</v>
      </c>
      <c r="I369" s="7" t="n">
        <v>0.46657347149655</v>
      </c>
      <c r="J369" s="6" t="n">
        <f aca="false">EXP(G369)</f>
        <v>1.06662913868189</v>
      </c>
      <c r="K369" s="6" t="n">
        <f aca="false">EXP(G369-1.96*H369)</f>
        <v>0.896601419727381</v>
      </c>
      <c r="L369" s="6" t="n">
        <f aca="false">EXP(G369+1.96*H369)</f>
        <v>1.26890019851987</v>
      </c>
      <c r="M369" s="5" t="s">
        <v>78</v>
      </c>
      <c r="N369" s="5"/>
    </row>
    <row r="370" customFormat="false" ht="15" hidden="false" customHeight="true" outlineLevel="0" collapsed="false">
      <c r="A370" s="5" t="s">
        <v>133</v>
      </c>
      <c r="B370" s="5" t="s">
        <v>134</v>
      </c>
      <c r="C370" s="5" t="s">
        <v>75</v>
      </c>
      <c r="D370" s="5" t="s">
        <v>76</v>
      </c>
      <c r="E370" s="5" t="s">
        <v>112</v>
      </c>
      <c r="F370" s="5" t="n">
        <v>80</v>
      </c>
      <c r="G370" s="6" t="n">
        <v>0.0609799668864738</v>
      </c>
      <c r="H370" s="6" t="n">
        <v>0.0844444420754745</v>
      </c>
      <c r="I370" s="7" t="n">
        <v>0.470213813226313</v>
      </c>
      <c r="J370" s="6" t="n">
        <f aca="false">EXP(G370)</f>
        <v>1.06287762122586</v>
      </c>
      <c r="K370" s="6" t="n">
        <f aca="false">EXP(G370-1.96*H370)</f>
        <v>0.90074674809343</v>
      </c>
      <c r="L370" s="6" t="n">
        <f aca="false">EXP(G370+1.96*H370)</f>
        <v>1.25419141406167</v>
      </c>
      <c r="M370" s="5" t="s">
        <v>78</v>
      </c>
      <c r="N370" s="5"/>
    </row>
    <row r="371" customFormat="false" ht="15" hidden="false" customHeight="true" outlineLevel="0" collapsed="false">
      <c r="A371" s="5" t="s">
        <v>133</v>
      </c>
      <c r="B371" s="5" t="s">
        <v>134</v>
      </c>
      <c r="C371" s="5" t="s">
        <v>75</v>
      </c>
      <c r="D371" s="5" t="s">
        <v>76</v>
      </c>
      <c r="E371" s="5" t="s">
        <v>113</v>
      </c>
      <c r="F371" s="5" t="n">
        <v>80</v>
      </c>
      <c r="G371" s="6" t="n">
        <v>0.0550360165593449</v>
      </c>
      <c r="H371" s="6" t="n">
        <v>0.0834713952622795</v>
      </c>
      <c r="I371" s="7" t="n">
        <v>0.509677563264357</v>
      </c>
      <c r="J371" s="6" t="n">
        <f aca="false">EXP(G371)</f>
        <v>1.05657866831852</v>
      </c>
      <c r="K371" s="6" t="n">
        <f aca="false">EXP(G371-1.96*H371)</f>
        <v>0.897117962151219</v>
      </c>
      <c r="L371" s="6" t="n">
        <f aca="false">EXP(G371+1.96*H371)</f>
        <v>1.24438315744877</v>
      </c>
      <c r="M371" s="5" t="s">
        <v>78</v>
      </c>
      <c r="N371" s="5"/>
    </row>
    <row r="372" customFormat="false" ht="15" hidden="false" customHeight="true" outlineLevel="0" collapsed="false">
      <c r="A372" s="5" t="s">
        <v>133</v>
      </c>
      <c r="B372" s="5" t="s">
        <v>134</v>
      </c>
      <c r="C372" s="5" t="s">
        <v>75</v>
      </c>
      <c r="D372" s="5" t="s">
        <v>76</v>
      </c>
      <c r="E372" s="5" t="s">
        <v>114</v>
      </c>
      <c r="F372" s="5" t="n">
        <v>80</v>
      </c>
      <c r="G372" s="6" t="n">
        <v>0.216456582389204</v>
      </c>
      <c r="H372" s="6" t="n">
        <v>0.213878653127256</v>
      </c>
      <c r="I372" s="7" t="n">
        <v>0.314602308216949</v>
      </c>
      <c r="J372" s="6" t="n">
        <f aca="false">EXP(G372)</f>
        <v>1.24166917387455</v>
      </c>
      <c r="K372" s="6" t="n">
        <f aca="false">EXP(G372-1.96*H372)</f>
        <v>0.816485947201771</v>
      </c>
      <c r="L372" s="6" t="n">
        <f aca="false">EXP(G372+1.96*H372)</f>
        <v>1.88826561269563</v>
      </c>
      <c r="M372" s="5" t="s">
        <v>78</v>
      </c>
      <c r="N372" s="5"/>
    </row>
    <row r="373" customFormat="false" ht="15" hidden="false" customHeight="true" outlineLevel="0" collapsed="false">
      <c r="A373" s="5" t="s">
        <v>133</v>
      </c>
      <c r="B373" s="5" t="s">
        <v>134</v>
      </c>
      <c r="C373" s="5" t="s">
        <v>75</v>
      </c>
      <c r="D373" s="5" t="s">
        <v>76</v>
      </c>
      <c r="E373" s="5" t="s">
        <v>115</v>
      </c>
      <c r="F373" s="5" t="n">
        <v>80</v>
      </c>
      <c r="G373" s="6" t="n">
        <v>0.216456582389204</v>
      </c>
      <c r="H373" s="6" t="n">
        <v>0.203546749638546</v>
      </c>
      <c r="I373" s="7" t="n">
        <v>0.290829343898847</v>
      </c>
      <c r="J373" s="6" t="n">
        <f aca="false">EXP(G373)</f>
        <v>1.24166917387455</v>
      </c>
      <c r="K373" s="6" t="n">
        <f aca="false">EXP(G373-1.96*H373)</f>
        <v>0.833188770783456</v>
      </c>
      <c r="L373" s="6" t="n">
        <f aca="false">EXP(G373+1.96*H373)</f>
        <v>1.85041180511903</v>
      </c>
      <c r="M373" s="5" t="s">
        <v>78</v>
      </c>
      <c r="N373" s="5" t="s">
        <v>116</v>
      </c>
    </row>
    <row r="374" customFormat="false" ht="15" hidden="false" customHeight="true" outlineLevel="0" collapsed="false">
      <c r="A374" s="5" t="s">
        <v>133</v>
      </c>
      <c r="B374" s="5" t="s">
        <v>134</v>
      </c>
      <c r="C374" s="5" t="s">
        <v>75</v>
      </c>
      <c r="D374" s="5" t="s">
        <v>76</v>
      </c>
      <c r="E374" s="5" t="s">
        <v>117</v>
      </c>
      <c r="F374" s="5" t="n">
        <v>80</v>
      </c>
      <c r="G374" s="6" t="n">
        <v>0.232684091009658</v>
      </c>
      <c r="H374" s="6" t="n">
        <v>0.18424991466564</v>
      </c>
      <c r="I374" s="7" t="n">
        <v>0.210349929239329</v>
      </c>
      <c r="J374" s="6" t="n">
        <f aca="false">EXP(G374)</f>
        <v>1.26198274465395</v>
      </c>
      <c r="K374" s="6" t="n">
        <f aca="false">EXP(G374-1.96*H374)</f>
        <v>0.879461279167036</v>
      </c>
      <c r="L374" s="6" t="n">
        <f aca="false">EXP(G374+1.96*H374)</f>
        <v>1.8108818267846</v>
      </c>
      <c r="M374" s="5" t="s">
        <v>78</v>
      </c>
      <c r="N374" s="5"/>
    </row>
    <row r="375" customFormat="false" ht="15" hidden="false" customHeight="true" outlineLevel="0" collapsed="false">
      <c r="A375" s="5" t="s">
        <v>133</v>
      </c>
      <c r="B375" s="5" t="s">
        <v>134</v>
      </c>
      <c r="C375" s="5" t="s">
        <v>75</v>
      </c>
      <c r="D375" s="5" t="s">
        <v>76</v>
      </c>
      <c r="E375" s="5" t="s">
        <v>118</v>
      </c>
      <c r="F375" s="5" t="n">
        <v>80</v>
      </c>
      <c r="G375" s="6" t="n">
        <v>0.232684091009658</v>
      </c>
      <c r="H375" s="6" t="n">
        <v>0.198871472375213</v>
      </c>
      <c r="I375" s="7" t="n">
        <v>0.245509627360872</v>
      </c>
      <c r="J375" s="6" t="n">
        <f aca="false">EXP(G375)</f>
        <v>1.26198274465395</v>
      </c>
      <c r="K375" s="6" t="n">
        <f aca="false">EXP(G375-1.96*H375)</f>
        <v>0.85461517862254</v>
      </c>
      <c r="L375" s="6" t="n">
        <f aca="false">EXP(G375+1.96*H375)</f>
        <v>1.86352932599589</v>
      </c>
      <c r="M375" s="5" t="s">
        <v>78</v>
      </c>
      <c r="N375" s="5" t="s">
        <v>119</v>
      </c>
    </row>
    <row r="376" customFormat="false" ht="15" hidden="false" customHeight="true" outlineLevel="0" collapsed="false">
      <c r="A376" s="5" t="s">
        <v>133</v>
      </c>
      <c r="B376" s="5" t="s">
        <v>134</v>
      </c>
      <c r="C376" s="5" t="s">
        <v>75</v>
      </c>
      <c r="D376" s="5" t="s">
        <v>76</v>
      </c>
      <c r="E376" s="5" t="s">
        <v>120</v>
      </c>
      <c r="F376" s="5" t="n">
        <v>80</v>
      </c>
      <c r="G376" s="6" t="n">
        <v>-0.0168868501622728</v>
      </c>
      <c r="H376" s="6" t="n">
        <v>0.0670569667267743</v>
      </c>
      <c r="I376" s="7" t="n">
        <v>0.801173687013775</v>
      </c>
      <c r="J376" s="6" t="n">
        <f aca="false">EXP(G376)</f>
        <v>0.983254933477064</v>
      </c>
      <c r="K376" s="6" t="n">
        <f aca="false">EXP(G376-1.96*H376)</f>
        <v>0.862156470105896</v>
      </c>
      <c r="L376" s="6" t="n">
        <f aca="false">EXP(G376+1.96*H376)</f>
        <v>1.12136288217873</v>
      </c>
      <c r="M376" s="5" t="s">
        <v>78</v>
      </c>
      <c r="N376" s="5"/>
    </row>
    <row r="377" customFormat="false" ht="15" hidden="false" customHeight="true" outlineLevel="0" collapsed="false">
      <c r="A377" s="5" t="s">
        <v>133</v>
      </c>
      <c r="B377" s="5" t="s">
        <v>134</v>
      </c>
      <c r="C377" s="5" t="s">
        <v>75</v>
      </c>
      <c r="D377" s="5" t="s">
        <v>76</v>
      </c>
      <c r="E377" s="5" t="s">
        <v>121</v>
      </c>
      <c r="F377" s="5" t="n">
        <v>80</v>
      </c>
      <c r="G377" s="6" t="n">
        <v>0.282320762488922</v>
      </c>
      <c r="H377" s="6" t="n">
        <v>0.171085145723872</v>
      </c>
      <c r="I377" s="7" t="n">
        <v>0.102928211200336</v>
      </c>
      <c r="J377" s="6" t="n">
        <f aca="false">EXP(G377)</f>
        <v>1.32620404827981</v>
      </c>
      <c r="K377" s="6" t="n">
        <f aca="false">EXP(G377-1.96*H377)</f>
        <v>0.948374205446097</v>
      </c>
      <c r="L377" s="6" t="n">
        <f aca="false">EXP(G377+1.96*H377)</f>
        <v>1.85456032816333</v>
      </c>
      <c r="M377" s="5" t="s">
        <v>78</v>
      </c>
      <c r="N377" s="5"/>
    </row>
    <row r="378" customFormat="false" ht="15" hidden="false" customHeight="true" outlineLevel="0" collapsed="false">
      <c r="A378" s="5" t="s">
        <v>133</v>
      </c>
      <c r="B378" s="5" t="s">
        <v>134</v>
      </c>
      <c r="C378" s="5" t="s">
        <v>75</v>
      </c>
      <c r="D378" s="5" t="s">
        <v>76</v>
      </c>
      <c r="E378" s="5" t="s">
        <v>122</v>
      </c>
      <c r="F378" s="5" t="n">
        <v>80</v>
      </c>
      <c r="G378" s="6" t="n">
        <v>0.0685308200053987</v>
      </c>
      <c r="H378" s="6" t="n">
        <v>4.25801290265338</v>
      </c>
      <c r="I378" s="7" t="n">
        <v>0.987158957967596</v>
      </c>
      <c r="J378" s="6" t="n">
        <f aca="false">EXP(G378)</f>
        <v>1.07093363062264</v>
      </c>
      <c r="K378" s="6" t="s">
        <v>81</v>
      </c>
      <c r="L378" s="6" t="s">
        <v>81</v>
      </c>
      <c r="M378" s="5" t="s">
        <v>78</v>
      </c>
      <c r="N378" s="5" t="s">
        <v>123</v>
      </c>
    </row>
    <row r="379" customFormat="false" ht="15" hidden="false" customHeight="true" outlineLevel="0" collapsed="false">
      <c r="A379" s="5" t="s">
        <v>133</v>
      </c>
      <c r="B379" s="5" t="s">
        <v>134</v>
      </c>
      <c r="C379" s="5" t="s">
        <v>75</v>
      </c>
      <c r="D379" s="5" t="s">
        <v>76</v>
      </c>
      <c r="E379" s="5" t="s">
        <v>124</v>
      </c>
      <c r="F379" s="5" t="n">
        <v>80</v>
      </c>
      <c r="G379" s="6" t="n">
        <v>0.125</v>
      </c>
      <c r="H379" s="6"/>
      <c r="I379" s="7" t="n">
        <v>0.314306579863939</v>
      </c>
      <c r="J379" s="6" t="n">
        <f aca="false">EXP(G379)</f>
        <v>1.13314845306683</v>
      </c>
      <c r="K379" s="6" t="s">
        <v>81</v>
      </c>
      <c r="L379" s="6" t="s">
        <v>81</v>
      </c>
      <c r="M379" s="5" t="s">
        <v>78</v>
      </c>
      <c r="N379" s="5" t="s">
        <v>125</v>
      </c>
    </row>
    <row r="380" customFormat="false" ht="15" hidden="false" customHeight="true" outlineLevel="0" collapsed="false">
      <c r="A380" s="5" t="s">
        <v>133</v>
      </c>
      <c r="B380" s="5" t="s">
        <v>134</v>
      </c>
      <c r="C380" s="5" t="s">
        <v>79</v>
      </c>
      <c r="D380" s="5" t="s">
        <v>80</v>
      </c>
      <c r="E380" s="5" t="s">
        <v>100</v>
      </c>
      <c r="F380" s="5" t="n">
        <v>85</v>
      </c>
      <c r="G380" s="6" t="n">
        <v>0.00129444497373663</v>
      </c>
      <c r="H380" s="6" t="n">
        <v>0.00130231061553102</v>
      </c>
      <c r="I380" s="7" t="n">
        <v>0.320242224131817</v>
      </c>
      <c r="J380" s="6" t="s">
        <v>81</v>
      </c>
      <c r="K380" s="6" t="s">
        <v>81</v>
      </c>
      <c r="L380" s="6" t="s">
        <v>81</v>
      </c>
      <c r="M380" s="5" t="s">
        <v>82</v>
      </c>
      <c r="N380" s="5"/>
    </row>
    <row r="381" customFormat="false" ht="15" hidden="false" customHeight="true" outlineLevel="0" collapsed="false">
      <c r="A381" s="5" t="s">
        <v>133</v>
      </c>
      <c r="B381" s="5" t="s">
        <v>134</v>
      </c>
      <c r="C381" s="5" t="s">
        <v>79</v>
      </c>
      <c r="D381" s="5" t="s">
        <v>80</v>
      </c>
      <c r="E381" s="5" t="s">
        <v>101</v>
      </c>
      <c r="F381" s="5" t="n">
        <v>85</v>
      </c>
      <c r="G381" s="6" t="n">
        <v>0.00129444497373663</v>
      </c>
      <c r="H381" s="6" t="n">
        <v>0.00129202103947519</v>
      </c>
      <c r="I381" s="7" t="n">
        <v>0.316403446860504</v>
      </c>
      <c r="J381" s="6" t="s">
        <v>81</v>
      </c>
      <c r="K381" s="6" t="s">
        <v>81</v>
      </c>
      <c r="L381" s="6" t="s">
        <v>81</v>
      </c>
      <c r="M381" s="5" t="s">
        <v>82</v>
      </c>
      <c r="N381" s="5" t="s">
        <v>102</v>
      </c>
    </row>
    <row r="382" customFormat="false" ht="15" hidden="false" customHeight="true" outlineLevel="0" collapsed="false">
      <c r="A382" s="5" t="s">
        <v>133</v>
      </c>
      <c r="B382" s="5" t="s">
        <v>134</v>
      </c>
      <c r="C382" s="5" t="s">
        <v>79</v>
      </c>
      <c r="D382" s="5" t="s">
        <v>80</v>
      </c>
      <c r="E382" s="5" t="s">
        <v>103</v>
      </c>
      <c r="F382" s="5" t="n">
        <v>85</v>
      </c>
      <c r="G382" s="6" t="n">
        <v>0.00129444497373663</v>
      </c>
      <c r="H382" s="6" t="n">
        <v>0.00130231061553102</v>
      </c>
      <c r="I382" s="7" t="n">
        <v>0.320242224131817</v>
      </c>
      <c r="J382" s="6" t="s">
        <v>81</v>
      </c>
      <c r="K382" s="6" t="s">
        <v>81</v>
      </c>
      <c r="L382" s="6" t="s">
        <v>81</v>
      </c>
      <c r="M382" s="5" t="s">
        <v>82</v>
      </c>
      <c r="N382" s="5" t="s">
        <v>104</v>
      </c>
    </row>
    <row r="383" customFormat="false" ht="15" hidden="false" customHeight="true" outlineLevel="0" collapsed="false">
      <c r="A383" s="5" t="s">
        <v>133</v>
      </c>
      <c r="B383" s="5" t="s">
        <v>134</v>
      </c>
      <c r="C383" s="5" t="s">
        <v>79</v>
      </c>
      <c r="D383" s="5" t="s">
        <v>80</v>
      </c>
      <c r="E383" s="5" t="s">
        <v>105</v>
      </c>
      <c r="F383" s="5" t="n">
        <v>85</v>
      </c>
      <c r="G383" s="6" t="n">
        <v>0.00129444431319659</v>
      </c>
      <c r="H383" s="6" t="n">
        <v>0.00129202079100217</v>
      </c>
      <c r="I383" s="7" t="n">
        <v>0.316403600741198</v>
      </c>
      <c r="J383" s="6" t="s">
        <v>81</v>
      </c>
      <c r="K383" s="6" t="s">
        <v>81</v>
      </c>
      <c r="L383" s="6" t="s">
        <v>81</v>
      </c>
      <c r="M383" s="5" t="s">
        <v>82</v>
      </c>
      <c r="N383" s="5" t="s">
        <v>106</v>
      </c>
    </row>
    <row r="384" customFormat="false" ht="15" hidden="false" customHeight="true" outlineLevel="0" collapsed="false">
      <c r="A384" s="5" t="s">
        <v>133</v>
      </c>
      <c r="B384" s="5" t="s">
        <v>134</v>
      </c>
      <c r="C384" s="5" t="s">
        <v>79</v>
      </c>
      <c r="D384" s="5" t="s">
        <v>80</v>
      </c>
      <c r="E384" s="5" t="s">
        <v>107</v>
      </c>
      <c r="F384" s="5" t="n">
        <v>85</v>
      </c>
      <c r="G384" s="6" t="n">
        <v>0.00131338822460801</v>
      </c>
      <c r="H384" s="6" t="n">
        <v>0.0013182851430575</v>
      </c>
      <c r="I384" s="7" t="n">
        <v>0.319111501598966</v>
      </c>
      <c r="J384" s="6" t="s">
        <v>81</v>
      </c>
      <c r="K384" s="6" t="s">
        <v>81</v>
      </c>
      <c r="L384" s="6" t="s">
        <v>81</v>
      </c>
      <c r="M384" s="5" t="s">
        <v>82</v>
      </c>
      <c r="N384" s="5"/>
    </row>
    <row r="385" customFormat="false" ht="15" hidden="false" customHeight="true" outlineLevel="0" collapsed="false">
      <c r="A385" s="5" t="s">
        <v>133</v>
      </c>
      <c r="B385" s="5" t="s">
        <v>134</v>
      </c>
      <c r="C385" s="5" t="s">
        <v>79</v>
      </c>
      <c r="D385" s="5" t="s">
        <v>80</v>
      </c>
      <c r="E385" s="5" t="s">
        <v>108</v>
      </c>
      <c r="F385" s="5" t="n">
        <v>85</v>
      </c>
      <c r="G385" s="6" t="n">
        <v>-0.00271910727709613</v>
      </c>
      <c r="H385" s="6" t="n">
        <v>0.00658044971491873</v>
      </c>
      <c r="I385" s="7" t="n">
        <v>0.680518404944968</v>
      </c>
      <c r="J385" s="6" t="s">
        <v>81</v>
      </c>
      <c r="K385" s="6" t="s">
        <v>81</v>
      </c>
      <c r="L385" s="6" t="s">
        <v>81</v>
      </c>
      <c r="M385" s="5" t="s">
        <v>82</v>
      </c>
      <c r="N385" s="5"/>
    </row>
    <row r="386" customFormat="false" ht="15" hidden="false" customHeight="true" outlineLevel="0" collapsed="false">
      <c r="A386" s="5" t="s">
        <v>133</v>
      </c>
      <c r="B386" s="5" t="s">
        <v>134</v>
      </c>
      <c r="C386" s="5" t="s">
        <v>79</v>
      </c>
      <c r="D386" s="5" t="s">
        <v>80</v>
      </c>
      <c r="E386" s="5" t="s">
        <v>109</v>
      </c>
      <c r="F386" s="5" t="n">
        <v>85</v>
      </c>
      <c r="G386" s="6" t="n">
        <v>0.00620597103808387</v>
      </c>
      <c r="H386" s="6" t="n">
        <v>0.00535785012583146</v>
      </c>
      <c r="I386" s="7" t="n">
        <v>0.114</v>
      </c>
      <c r="J386" s="6" t="s">
        <v>81</v>
      </c>
      <c r="K386" s="6" t="s">
        <v>81</v>
      </c>
      <c r="L386" s="6" t="s">
        <v>81</v>
      </c>
      <c r="M386" s="5" t="s">
        <v>82</v>
      </c>
      <c r="N386" s="5" t="s">
        <v>110</v>
      </c>
    </row>
    <row r="387" customFormat="false" ht="15" hidden="false" customHeight="true" outlineLevel="0" collapsed="false">
      <c r="A387" s="5" t="s">
        <v>133</v>
      </c>
      <c r="B387" s="5" t="s">
        <v>134</v>
      </c>
      <c r="C387" s="5" t="s">
        <v>79</v>
      </c>
      <c r="D387" s="5" t="s">
        <v>80</v>
      </c>
      <c r="E387" s="5" t="s">
        <v>111</v>
      </c>
      <c r="F387" s="5" t="n">
        <v>85</v>
      </c>
      <c r="G387" s="6" t="n">
        <v>0.00146201554109747</v>
      </c>
      <c r="H387" s="6" t="n">
        <v>0.00179005088203568</v>
      </c>
      <c r="I387" s="7" t="n">
        <v>0.414074030752482</v>
      </c>
      <c r="J387" s="6" t="s">
        <v>81</v>
      </c>
      <c r="K387" s="6" t="s">
        <v>81</v>
      </c>
      <c r="L387" s="6" t="s">
        <v>81</v>
      </c>
      <c r="M387" s="5" t="s">
        <v>82</v>
      </c>
      <c r="N387" s="5"/>
    </row>
    <row r="388" customFormat="false" ht="15" hidden="false" customHeight="true" outlineLevel="0" collapsed="false">
      <c r="A388" s="5" t="s">
        <v>133</v>
      </c>
      <c r="B388" s="5" t="s">
        <v>134</v>
      </c>
      <c r="C388" s="5" t="s">
        <v>79</v>
      </c>
      <c r="D388" s="5" t="s">
        <v>80</v>
      </c>
      <c r="E388" s="5" t="s">
        <v>112</v>
      </c>
      <c r="F388" s="5" t="n">
        <v>85</v>
      </c>
      <c r="G388" s="6" t="n">
        <v>0.00230575445996689</v>
      </c>
      <c r="H388" s="6" t="n">
        <v>0.00187777581152995</v>
      </c>
      <c r="I388" s="7" t="n">
        <v>0.219477803483896</v>
      </c>
      <c r="J388" s="6" t="s">
        <v>81</v>
      </c>
      <c r="K388" s="6" t="s">
        <v>81</v>
      </c>
      <c r="L388" s="6" t="s">
        <v>81</v>
      </c>
      <c r="M388" s="5" t="s">
        <v>82</v>
      </c>
      <c r="N388" s="5"/>
    </row>
    <row r="389" customFormat="false" ht="15" hidden="false" customHeight="true" outlineLevel="0" collapsed="false">
      <c r="A389" s="5" t="s">
        <v>133</v>
      </c>
      <c r="B389" s="5" t="s">
        <v>134</v>
      </c>
      <c r="C389" s="5" t="s">
        <v>79</v>
      </c>
      <c r="D389" s="5" t="s">
        <v>80</v>
      </c>
      <c r="E389" s="5" t="s">
        <v>113</v>
      </c>
      <c r="F389" s="5" t="n">
        <v>85</v>
      </c>
      <c r="G389" s="6" t="n">
        <v>0.00278320209675878</v>
      </c>
      <c r="H389" s="6" t="n">
        <v>0.00186989519877184</v>
      </c>
      <c r="I389" s="7" t="n">
        <v>0.136638377492305</v>
      </c>
      <c r="J389" s="6" t="s">
        <v>81</v>
      </c>
      <c r="K389" s="6" t="s">
        <v>81</v>
      </c>
      <c r="L389" s="6" t="s">
        <v>81</v>
      </c>
      <c r="M389" s="5" t="s">
        <v>82</v>
      </c>
      <c r="N389" s="5"/>
    </row>
    <row r="390" customFormat="false" ht="15" hidden="false" customHeight="true" outlineLevel="0" collapsed="false">
      <c r="A390" s="5" t="s">
        <v>133</v>
      </c>
      <c r="B390" s="5" t="s">
        <v>134</v>
      </c>
      <c r="C390" s="5" t="s">
        <v>79</v>
      </c>
      <c r="D390" s="5" t="s">
        <v>80</v>
      </c>
      <c r="E390" s="5" t="s">
        <v>114</v>
      </c>
      <c r="F390" s="5" t="n">
        <v>85</v>
      </c>
      <c r="G390" s="6" t="n">
        <v>0.00243981515822812</v>
      </c>
      <c r="H390" s="6" t="n">
        <v>0.00462078500617901</v>
      </c>
      <c r="I390" s="7" t="n">
        <v>0.598885337288123</v>
      </c>
      <c r="J390" s="6" t="s">
        <v>81</v>
      </c>
      <c r="K390" s="6" t="s">
        <v>81</v>
      </c>
      <c r="L390" s="6" t="s">
        <v>81</v>
      </c>
      <c r="M390" s="5" t="s">
        <v>82</v>
      </c>
      <c r="N390" s="5"/>
    </row>
    <row r="391" customFormat="false" ht="15" hidden="false" customHeight="true" outlineLevel="0" collapsed="false">
      <c r="A391" s="5" t="s">
        <v>133</v>
      </c>
      <c r="B391" s="5" t="s">
        <v>134</v>
      </c>
      <c r="C391" s="5" t="s">
        <v>79</v>
      </c>
      <c r="D391" s="5" t="s">
        <v>80</v>
      </c>
      <c r="E391" s="5" t="s">
        <v>115</v>
      </c>
      <c r="F391" s="5" t="n">
        <v>85</v>
      </c>
      <c r="G391" s="6" t="n">
        <v>0.00243981515822812</v>
      </c>
      <c r="H391" s="6" t="n">
        <v>0.00423232810748651</v>
      </c>
      <c r="I391" s="7" t="n">
        <v>0.565838290088504</v>
      </c>
      <c r="J391" s="6" t="s">
        <v>81</v>
      </c>
      <c r="K391" s="6" t="s">
        <v>81</v>
      </c>
      <c r="L391" s="6" t="s">
        <v>81</v>
      </c>
      <c r="M391" s="5" t="s">
        <v>82</v>
      </c>
      <c r="N391" s="5" t="s">
        <v>116</v>
      </c>
    </row>
    <row r="392" customFormat="false" ht="15" hidden="false" customHeight="true" outlineLevel="0" collapsed="false">
      <c r="A392" s="5" t="s">
        <v>133</v>
      </c>
      <c r="B392" s="5" t="s">
        <v>134</v>
      </c>
      <c r="C392" s="5" t="s">
        <v>79</v>
      </c>
      <c r="D392" s="5" t="s">
        <v>80</v>
      </c>
      <c r="E392" s="5" t="s">
        <v>117</v>
      </c>
      <c r="F392" s="5" t="n">
        <v>85</v>
      </c>
      <c r="G392" s="6" t="n">
        <v>0.00261089718937006</v>
      </c>
      <c r="H392" s="6" t="n">
        <v>0.00379173002357239</v>
      </c>
      <c r="I392" s="7" t="n">
        <v>0.4929870447237</v>
      </c>
      <c r="J392" s="6" t="s">
        <v>81</v>
      </c>
      <c r="K392" s="6" t="s">
        <v>81</v>
      </c>
      <c r="L392" s="6" t="s">
        <v>81</v>
      </c>
      <c r="M392" s="5" t="s">
        <v>82</v>
      </c>
      <c r="N392" s="5"/>
    </row>
    <row r="393" customFormat="false" ht="15" hidden="false" customHeight="true" outlineLevel="0" collapsed="false">
      <c r="A393" s="5" t="s">
        <v>133</v>
      </c>
      <c r="B393" s="5" t="s">
        <v>134</v>
      </c>
      <c r="C393" s="5" t="s">
        <v>79</v>
      </c>
      <c r="D393" s="5" t="s">
        <v>80</v>
      </c>
      <c r="E393" s="5" t="s">
        <v>118</v>
      </c>
      <c r="F393" s="5" t="n">
        <v>85</v>
      </c>
      <c r="G393" s="6" t="n">
        <v>0.00261089718937006</v>
      </c>
      <c r="H393" s="6" t="n">
        <v>0.00385103400513891</v>
      </c>
      <c r="I393" s="7" t="n">
        <v>0.499652105812574</v>
      </c>
      <c r="J393" s="6" t="s">
        <v>81</v>
      </c>
      <c r="K393" s="6" t="s">
        <v>81</v>
      </c>
      <c r="L393" s="6" t="s">
        <v>81</v>
      </c>
      <c r="M393" s="5" t="s">
        <v>82</v>
      </c>
      <c r="N393" s="5" t="s">
        <v>119</v>
      </c>
    </row>
    <row r="394" customFormat="false" ht="15" hidden="false" customHeight="true" outlineLevel="0" collapsed="false">
      <c r="A394" s="5" t="s">
        <v>133</v>
      </c>
      <c r="B394" s="5" t="s">
        <v>134</v>
      </c>
      <c r="C394" s="5" t="s">
        <v>79</v>
      </c>
      <c r="D394" s="5" t="s">
        <v>80</v>
      </c>
      <c r="E394" s="5" t="s">
        <v>120</v>
      </c>
      <c r="F394" s="5" t="n">
        <v>85</v>
      </c>
      <c r="G394" s="6" t="n">
        <v>0.00163774072845985</v>
      </c>
      <c r="H394" s="6" t="n">
        <v>0.00136831932570217</v>
      </c>
      <c r="I394" s="7" t="n">
        <v>0.23134572576309</v>
      </c>
      <c r="J394" s="6" t="s">
        <v>81</v>
      </c>
      <c r="K394" s="6" t="s">
        <v>81</v>
      </c>
      <c r="L394" s="6" t="s">
        <v>81</v>
      </c>
      <c r="M394" s="5" t="s">
        <v>82</v>
      </c>
      <c r="N394" s="5"/>
    </row>
    <row r="395" customFormat="false" ht="15" hidden="false" customHeight="true" outlineLevel="0" collapsed="false">
      <c r="A395" s="5" t="s">
        <v>133</v>
      </c>
      <c r="B395" s="5" t="s">
        <v>134</v>
      </c>
      <c r="C395" s="5" t="s">
        <v>79</v>
      </c>
      <c r="D395" s="5" t="s">
        <v>80</v>
      </c>
      <c r="E395" s="5" t="s">
        <v>121</v>
      </c>
      <c r="F395" s="5" t="n">
        <v>85</v>
      </c>
      <c r="G395" s="6" t="n">
        <v>-0.000691448360851675</v>
      </c>
      <c r="H395" s="6" t="n">
        <v>0.00368211066139211</v>
      </c>
      <c r="I395" s="7" t="n">
        <v>0.851502840675916</v>
      </c>
      <c r="J395" s="6" t="s">
        <v>81</v>
      </c>
      <c r="K395" s="6" t="s">
        <v>81</v>
      </c>
      <c r="L395" s="6" t="s">
        <v>81</v>
      </c>
      <c r="M395" s="5" t="s">
        <v>82</v>
      </c>
      <c r="N395" s="5"/>
    </row>
    <row r="396" customFormat="false" ht="15" hidden="false" customHeight="true" outlineLevel="0" collapsed="false">
      <c r="A396" s="5" t="s">
        <v>133</v>
      </c>
      <c r="B396" s="5" t="s">
        <v>134</v>
      </c>
      <c r="C396" s="5" t="s">
        <v>79</v>
      </c>
      <c r="D396" s="5" t="s">
        <v>80</v>
      </c>
      <c r="E396" s="5" t="s">
        <v>122</v>
      </c>
      <c r="F396" s="5" t="n">
        <v>85</v>
      </c>
      <c r="G396" s="6" t="n">
        <v>0.000600398654883841</v>
      </c>
      <c r="H396" s="6" t="n">
        <v>4.07746342902014</v>
      </c>
      <c r="I396" s="7" t="n">
        <v>0.999882513032019</v>
      </c>
      <c r="J396" s="6" t="s">
        <v>81</v>
      </c>
      <c r="K396" s="6" t="s">
        <v>81</v>
      </c>
      <c r="L396" s="6" t="s">
        <v>81</v>
      </c>
      <c r="M396" s="5" t="s">
        <v>82</v>
      </c>
      <c r="N396" s="5" t="s">
        <v>123</v>
      </c>
    </row>
    <row r="397" customFormat="false" ht="15" hidden="false" customHeight="true" outlineLevel="0" collapsed="false">
      <c r="A397" s="5" t="s">
        <v>133</v>
      </c>
      <c r="B397" s="5" t="s">
        <v>134</v>
      </c>
      <c r="C397" s="5" t="s">
        <v>79</v>
      </c>
      <c r="D397" s="5" t="s">
        <v>80</v>
      </c>
      <c r="E397" s="5" t="s">
        <v>124</v>
      </c>
      <c r="F397" s="5" t="n">
        <v>85</v>
      </c>
      <c r="G397" s="6" t="n">
        <v>0.176470588235294</v>
      </c>
      <c r="H397" s="6"/>
      <c r="I397" s="7" t="n">
        <v>0.128396402926401</v>
      </c>
      <c r="J397" s="6" t="s">
        <v>81</v>
      </c>
      <c r="K397" s="6" t="s">
        <v>81</v>
      </c>
      <c r="L397" s="6" t="s">
        <v>81</v>
      </c>
      <c r="M397" s="5" t="s">
        <v>82</v>
      </c>
      <c r="N397" s="5" t="s">
        <v>125</v>
      </c>
    </row>
    <row r="398" customFormat="false" ht="15" hidden="false" customHeight="true" outlineLevel="0" collapsed="false">
      <c r="A398" s="5" t="s">
        <v>133</v>
      </c>
      <c r="B398" s="5" t="s">
        <v>134</v>
      </c>
      <c r="C398" s="5" t="s">
        <v>83</v>
      </c>
      <c r="D398" s="5" t="s">
        <v>84</v>
      </c>
      <c r="E398" s="5" t="s">
        <v>100</v>
      </c>
      <c r="F398" s="5" t="n">
        <v>85</v>
      </c>
      <c r="G398" s="6" t="n">
        <v>0.0642604535452551</v>
      </c>
      <c r="H398" s="6" t="n">
        <v>0.0678021361371387</v>
      </c>
      <c r="I398" s="7" t="n">
        <v>0.343249387596645</v>
      </c>
      <c r="J398" s="6" t="n">
        <f aca="false">EXP(G398)</f>
        <v>1.06637010246922</v>
      </c>
      <c r="K398" s="6" t="n">
        <f aca="false">EXP(G398-1.96*H398)</f>
        <v>0.933670456526889</v>
      </c>
      <c r="L398" s="6" t="n">
        <f aca="false">EXP(G398+1.96*H398)</f>
        <v>1.21792993179866</v>
      </c>
      <c r="M398" s="5" t="s">
        <v>78</v>
      </c>
      <c r="N398" s="5"/>
    </row>
    <row r="399" customFormat="false" ht="15" hidden="false" customHeight="true" outlineLevel="0" collapsed="false">
      <c r="A399" s="5" t="s">
        <v>133</v>
      </c>
      <c r="B399" s="5" t="s">
        <v>134</v>
      </c>
      <c r="C399" s="5" t="s">
        <v>83</v>
      </c>
      <c r="D399" s="5" t="s">
        <v>84</v>
      </c>
      <c r="E399" s="5" t="s">
        <v>101</v>
      </c>
      <c r="F399" s="5" t="n">
        <v>85</v>
      </c>
      <c r="G399" s="6" t="n">
        <v>0.0642604535452551</v>
      </c>
      <c r="H399" s="6" t="n">
        <v>0.0678021361371387</v>
      </c>
      <c r="I399" s="7" t="n">
        <v>0.343249387596645</v>
      </c>
      <c r="J399" s="6" t="n">
        <f aca="false">EXP(G399)</f>
        <v>1.06637010246922</v>
      </c>
      <c r="K399" s="6" t="n">
        <f aca="false">EXP(G399-1.96*H399)</f>
        <v>0.933670456526889</v>
      </c>
      <c r="L399" s="6" t="n">
        <f aca="false">EXP(G399+1.96*H399)</f>
        <v>1.21792993179866</v>
      </c>
      <c r="M399" s="5" t="s">
        <v>78</v>
      </c>
      <c r="N399" s="5" t="s">
        <v>102</v>
      </c>
    </row>
    <row r="400" customFormat="false" ht="15" hidden="false" customHeight="true" outlineLevel="0" collapsed="false">
      <c r="A400" s="5" t="s">
        <v>133</v>
      </c>
      <c r="B400" s="5" t="s">
        <v>134</v>
      </c>
      <c r="C400" s="5" t="s">
        <v>83</v>
      </c>
      <c r="D400" s="5" t="s">
        <v>84</v>
      </c>
      <c r="E400" s="5" t="s">
        <v>103</v>
      </c>
      <c r="F400" s="5" t="n">
        <v>85</v>
      </c>
      <c r="G400" s="6" t="n">
        <v>0.0642604535452551</v>
      </c>
      <c r="H400" s="6" t="n">
        <v>0.0547223030040014</v>
      </c>
      <c r="I400" s="7" t="n">
        <v>0.240274494573734</v>
      </c>
      <c r="J400" s="6" t="n">
        <f aca="false">EXP(G400)</f>
        <v>1.06637010246922</v>
      </c>
      <c r="K400" s="6" t="n">
        <f aca="false">EXP(G400-1.96*H400)</f>
        <v>0.95791593024961</v>
      </c>
      <c r="L400" s="6" t="n">
        <f aca="false">EXP(G400+1.96*H400)</f>
        <v>1.18710333499089</v>
      </c>
      <c r="M400" s="5" t="s">
        <v>78</v>
      </c>
      <c r="N400" s="5" t="s">
        <v>104</v>
      </c>
    </row>
    <row r="401" customFormat="false" ht="15" hidden="false" customHeight="true" outlineLevel="0" collapsed="false">
      <c r="A401" s="5" t="s">
        <v>133</v>
      </c>
      <c r="B401" s="5" t="s">
        <v>134</v>
      </c>
      <c r="C401" s="5" t="s">
        <v>83</v>
      </c>
      <c r="D401" s="5" t="s">
        <v>84</v>
      </c>
      <c r="E401" s="5" t="s">
        <v>105</v>
      </c>
      <c r="F401" s="5" t="n">
        <v>85</v>
      </c>
      <c r="G401" s="6" t="n">
        <v>0.064257307807677</v>
      </c>
      <c r="H401" s="6" t="n">
        <v>0.0678020880148647</v>
      </c>
      <c r="I401" s="7" t="n">
        <v>0.34327267022711</v>
      </c>
      <c r="J401" s="6" t="n">
        <f aca="false">EXP(G401)</f>
        <v>1.06636674795399</v>
      </c>
      <c r="K401" s="6" t="n">
        <f aca="false">EXP(G401-1.96*H401)</f>
        <v>0.933667607512472</v>
      </c>
      <c r="L401" s="6" t="n">
        <f aca="false">EXP(G401+1.96*H401)</f>
        <v>1.21792598564236</v>
      </c>
      <c r="M401" s="5" t="s">
        <v>78</v>
      </c>
      <c r="N401" s="5" t="s">
        <v>106</v>
      </c>
    </row>
    <row r="402" customFormat="false" ht="15" hidden="false" customHeight="true" outlineLevel="0" collapsed="false">
      <c r="A402" s="5" t="s">
        <v>133</v>
      </c>
      <c r="B402" s="5" t="s">
        <v>134</v>
      </c>
      <c r="C402" s="5" t="s">
        <v>83</v>
      </c>
      <c r="D402" s="5" t="s">
        <v>84</v>
      </c>
      <c r="E402" s="5" t="s">
        <v>107</v>
      </c>
      <c r="F402" s="5" t="n">
        <v>85</v>
      </c>
      <c r="G402" s="6" t="n">
        <v>0.0652466138776986</v>
      </c>
      <c r="H402" s="6" t="n">
        <v>0.0557815147144011</v>
      </c>
      <c r="I402" s="7" t="n">
        <v>0.242129107478691</v>
      </c>
      <c r="J402" s="6" t="n">
        <f aca="false">EXP(G402)</f>
        <v>1.06742223306344</v>
      </c>
      <c r="K402" s="6" t="n">
        <f aca="false">EXP(G402-1.96*H402)</f>
        <v>0.956872471564171</v>
      </c>
      <c r="L402" s="6" t="n">
        <f aca="false">EXP(G402+1.96*H402)</f>
        <v>1.19074407248399</v>
      </c>
      <c r="M402" s="5" t="s">
        <v>78</v>
      </c>
      <c r="N402" s="5"/>
    </row>
    <row r="403" customFormat="false" ht="15" hidden="false" customHeight="true" outlineLevel="0" collapsed="false">
      <c r="A403" s="5" t="s">
        <v>133</v>
      </c>
      <c r="B403" s="5" t="s">
        <v>134</v>
      </c>
      <c r="C403" s="5" t="s">
        <v>83</v>
      </c>
      <c r="D403" s="5" t="s">
        <v>84</v>
      </c>
      <c r="E403" s="5" t="s">
        <v>108</v>
      </c>
      <c r="F403" s="5" t="n">
        <v>85</v>
      </c>
      <c r="G403" s="6" t="n">
        <v>-0.288842911750462</v>
      </c>
      <c r="H403" s="6" t="n">
        <v>0.340035072250284</v>
      </c>
      <c r="I403" s="7" t="n">
        <v>0.398074265999017</v>
      </c>
      <c r="J403" s="6" t="n">
        <f aca="false">EXP(G403)</f>
        <v>0.749129875660964</v>
      </c>
      <c r="K403" s="6" t="n">
        <f aca="false">EXP(G403-1.96*H403)</f>
        <v>0.384692235240808</v>
      </c>
      <c r="L403" s="6" t="n">
        <f aca="false">EXP(G403+1.96*H403)</f>
        <v>1.45881699498436</v>
      </c>
      <c r="M403" s="5" t="s">
        <v>78</v>
      </c>
      <c r="N403" s="5"/>
    </row>
    <row r="404" customFormat="false" ht="15" hidden="false" customHeight="true" outlineLevel="0" collapsed="false">
      <c r="A404" s="5" t="s">
        <v>133</v>
      </c>
      <c r="B404" s="5" t="s">
        <v>134</v>
      </c>
      <c r="C404" s="5" t="s">
        <v>83</v>
      </c>
      <c r="D404" s="5" t="s">
        <v>84</v>
      </c>
      <c r="E404" s="5" t="s">
        <v>109</v>
      </c>
      <c r="F404" s="5" t="n">
        <v>85</v>
      </c>
      <c r="G404" s="6" t="n">
        <v>0.0633845044784254</v>
      </c>
      <c r="H404" s="6" t="n">
        <v>0.227216353260293</v>
      </c>
      <c r="I404" s="7" t="n">
        <v>0.4</v>
      </c>
      <c r="J404" s="6" t="n">
        <f aca="false">EXP(G404)</f>
        <v>1.06543642555948</v>
      </c>
      <c r="K404" s="6" t="n">
        <f aca="false">EXP(G404-1.96*H404)</f>
        <v>0.682522662113929</v>
      </c>
      <c r="L404" s="6" t="n">
        <f aca="false">EXP(G404+1.96*H404)</f>
        <v>1.66317521735193</v>
      </c>
      <c r="M404" s="5" t="s">
        <v>78</v>
      </c>
      <c r="N404" s="5" t="s">
        <v>110</v>
      </c>
    </row>
    <row r="405" customFormat="false" ht="15" hidden="false" customHeight="true" outlineLevel="0" collapsed="false">
      <c r="A405" s="5" t="s">
        <v>133</v>
      </c>
      <c r="B405" s="5" t="s">
        <v>134</v>
      </c>
      <c r="C405" s="5" t="s">
        <v>83</v>
      </c>
      <c r="D405" s="5" t="s">
        <v>84</v>
      </c>
      <c r="E405" s="5" t="s">
        <v>111</v>
      </c>
      <c r="F405" s="5" t="n">
        <v>85</v>
      </c>
      <c r="G405" s="6" t="n">
        <v>0.105404733094132</v>
      </c>
      <c r="H405" s="6" t="n">
        <v>0.0852619804157699</v>
      </c>
      <c r="I405" s="7" t="n">
        <v>0.216367350926952</v>
      </c>
      <c r="J405" s="6" t="n">
        <f aca="false">EXP(G405)</f>
        <v>1.11116024268212</v>
      </c>
      <c r="K405" s="6" t="n">
        <f aca="false">EXP(G405-1.96*H405)</f>
        <v>0.940156668939956</v>
      </c>
      <c r="L405" s="6" t="n">
        <f aca="false">EXP(G405+1.96*H405)</f>
        <v>1.31326737947784</v>
      </c>
      <c r="M405" s="5" t="s">
        <v>78</v>
      </c>
      <c r="N405" s="5"/>
    </row>
    <row r="406" customFormat="false" ht="15" hidden="false" customHeight="true" outlineLevel="0" collapsed="false">
      <c r="A406" s="5" t="s">
        <v>133</v>
      </c>
      <c r="B406" s="5" t="s">
        <v>134</v>
      </c>
      <c r="C406" s="5" t="s">
        <v>83</v>
      </c>
      <c r="D406" s="5" t="s">
        <v>84</v>
      </c>
      <c r="E406" s="5" t="s">
        <v>112</v>
      </c>
      <c r="F406" s="5" t="n">
        <v>85</v>
      </c>
      <c r="G406" s="6" t="n">
        <v>0.0312672330243387</v>
      </c>
      <c r="H406" s="6" t="n">
        <v>0.0860966122179253</v>
      </c>
      <c r="I406" s="7" t="n">
        <v>0.716482005645743</v>
      </c>
      <c r="J406" s="6" t="n">
        <f aca="false">EXP(G406)</f>
        <v>1.03176118771156</v>
      </c>
      <c r="K406" s="6" t="n">
        <f aca="false">EXP(G406-1.96*H406)</f>
        <v>0.871549927137088</v>
      </c>
      <c r="L406" s="6" t="n">
        <f aca="false">EXP(G406+1.96*H406)</f>
        <v>1.22142302502944</v>
      </c>
      <c r="M406" s="5" t="s">
        <v>78</v>
      </c>
      <c r="N406" s="5"/>
    </row>
    <row r="407" customFormat="false" ht="15" hidden="false" customHeight="true" outlineLevel="0" collapsed="false">
      <c r="A407" s="5" t="s">
        <v>133</v>
      </c>
      <c r="B407" s="5" t="s">
        <v>134</v>
      </c>
      <c r="C407" s="5" t="s">
        <v>83</v>
      </c>
      <c r="D407" s="5" t="s">
        <v>84</v>
      </c>
      <c r="E407" s="5" t="s">
        <v>113</v>
      </c>
      <c r="F407" s="5" t="n">
        <v>85</v>
      </c>
      <c r="G407" s="6" t="n">
        <v>0.0274950343369286</v>
      </c>
      <c r="H407" s="6" t="n">
        <v>0.0853645563911506</v>
      </c>
      <c r="I407" s="7" t="n">
        <v>0.747384829996496</v>
      </c>
      <c r="J407" s="6" t="n">
        <f aca="false">EXP(G407)</f>
        <v>1.02787651100615</v>
      </c>
      <c r="K407" s="6" t="n">
        <f aca="false">EXP(G407-1.96*H407)</f>
        <v>0.869515172036192</v>
      </c>
      <c r="L407" s="6" t="n">
        <f aca="false">EXP(G407+1.96*H407)</f>
        <v>1.21507957061179</v>
      </c>
      <c r="M407" s="5" t="s">
        <v>78</v>
      </c>
      <c r="N407" s="5"/>
    </row>
    <row r="408" customFormat="false" ht="15" hidden="false" customHeight="true" outlineLevel="0" collapsed="false">
      <c r="A408" s="5" t="s">
        <v>133</v>
      </c>
      <c r="B408" s="5" t="s">
        <v>134</v>
      </c>
      <c r="C408" s="5" t="s">
        <v>83</v>
      </c>
      <c r="D408" s="5" t="s">
        <v>84</v>
      </c>
      <c r="E408" s="5" t="s">
        <v>114</v>
      </c>
      <c r="F408" s="5" t="n">
        <v>85</v>
      </c>
      <c r="G408" s="6" t="n">
        <v>0.32158436577794</v>
      </c>
      <c r="H408" s="6" t="n">
        <v>0.224308924749552</v>
      </c>
      <c r="I408" s="7" t="n">
        <v>0.155379162150167</v>
      </c>
      <c r="J408" s="6" t="n">
        <f aca="false">EXP(G408)</f>
        <v>1.37931136779414</v>
      </c>
      <c r="K408" s="6" t="n">
        <f aca="false">EXP(G408-1.96*H408)</f>
        <v>0.888641731190169</v>
      </c>
      <c r="L408" s="6" t="n">
        <f aca="false">EXP(G408+1.96*H408)</f>
        <v>2.14090761501613</v>
      </c>
      <c r="M408" s="5" t="s">
        <v>78</v>
      </c>
      <c r="N408" s="5"/>
    </row>
    <row r="409" customFormat="false" ht="15" hidden="false" customHeight="true" outlineLevel="0" collapsed="false">
      <c r="A409" s="5" t="s">
        <v>133</v>
      </c>
      <c r="B409" s="5" t="s">
        <v>134</v>
      </c>
      <c r="C409" s="5" t="s">
        <v>83</v>
      </c>
      <c r="D409" s="5" t="s">
        <v>84</v>
      </c>
      <c r="E409" s="5" t="s">
        <v>115</v>
      </c>
      <c r="F409" s="5" t="n">
        <v>85</v>
      </c>
      <c r="G409" s="6" t="n">
        <v>0.32158436577794</v>
      </c>
      <c r="H409" s="6" t="n">
        <v>0.228517583448747</v>
      </c>
      <c r="I409" s="7" t="n">
        <v>0.163038927258872</v>
      </c>
      <c r="J409" s="6" t="n">
        <f aca="false">EXP(G409)</f>
        <v>1.37931136779414</v>
      </c>
      <c r="K409" s="6" t="n">
        <f aca="false">EXP(G409-1.96*H409)</f>
        <v>0.881341502359139</v>
      </c>
      <c r="L409" s="6" t="n">
        <f aca="false">EXP(G409+1.96*H409)</f>
        <v>2.15864094024122</v>
      </c>
      <c r="M409" s="5" t="s">
        <v>78</v>
      </c>
      <c r="N409" s="5" t="s">
        <v>116</v>
      </c>
    </row>
    <row r="410" customFormat="false" ht="15" hidden="false" customHeight="true" outlineLevel="0" collapsed="false">
      <c r="A410" s="5" t="s">
        <v>133</v>
      </c>
      <c r="B410" s="5" t="s">
        <v>134</v>
      </c>
      <c r="C410" s="5" t="s">
        <v>83</v>
      </c>
      <c r="D410" s="5" t="s">
        <v>84</v>
      </c>
      <c r="E410" s="5" t="s">
        <v>117</v>
      </c>
      <c r="F410" s="5" t="n">
        <v>85</v>
      </c>
      <c r="G410" s="6" t="n">
        <v>-0.130757213817872</v>
      </c>
      <c r="H410" s="6" t="n">
        <v>0.193853403248708</v>
      </c>
      <c r="I410" s="7" t="n">
        <v>0.501835556302682</v>
      </c>
      <c r="J410" s="6" t="n">
        <f aca="false">EXP(G410)</f>
        <v>0.877430776601333</v>
      </c>
      <c r="K410" s="6" t="n">
        <f aca="false">EXP(G410-1.96*H410)</f>
        <v>0.600069447767241</v>
      </c>
      <c r="L410" s="6" t="n">
        <f aca="false">EXP(G410+1.96*H410)</f>
        <v>1.28299277790568</v>
      </c>
      <c r="M410" s="5" t="s">
        <v>78</v>
      </c>
      <c r="N410" s="5"/>
    </row>
    <row r="411" customFormat="false" ht="15" hidden="false" customHeight="true" outlineLevel="0" collapsed="false">
      <c r="A411" s="5" t="s">
        <v>133</v>
      </c>
      <c r="B411" s="5" t="s">
        <v>134</v>
      </c>
      <c r="C411" s="5" t="s">
        <v>83</v>
      </c>
      <c r="D411" s="5" t="s">
        <v>84</v>
      </c>
      <c r="E411" s="5" t="s">
        <v>118</v>
      </c>
      <c r="F411" s="5" t="n">
        <v>85</v>
      </c>
      <c r="G411" s="6" t="n">
        <v>-0.130757213817872</v>
      </c>
      <c r="H411" s="6" t="n">
        <v>0.192377947291781</v>
      </c>
      <c r="I411" s="7" t="n">
        <v>0.498570097677336</v>
      </c>
      <c r="J411" s="6" t="n">
        <f aca="false">EXP(G411)</f>
        <v>0.877430776601333</v>
      </c>
      <c r="K411" s="6" t="n">
        <f aca="false">EXP(G411-1.96*H411)</f>
        <v>0.601807296433787</v>
      </c>
      <c r="L411" s="6" t="n">
        <f aca="false">EXP(G411+1.96*H411)</f>
        <v>1.27928785890339</v>
      </c>
      <c r="M411" s="5" t="s">
        <v>78</v>
      </c>
      <c r="N411" s="5" t="s">
        <v>119</v>
      </c>
    </row>
    <row r="412" customFormat="false" ht="15" hidden="false" customHeight="true" outlineLevel="0" collapsed="false">
      <c r="A412" s="5" t="s">
        <v>133</v>
      </c>
      <c r="B412" s="5" t="s">
        <v>134</v>
      </c>
      <c r="C412" s="5" t="s">
        <v>83</v>
      </c>
      <c r="D412" s="5" t="s">
        <v>84</v>
      </c>
      <c r="E412" s="5" t="s">
        <v>120</v>
      </c>
      <c r="F412" s="5" t="n">
        <v>85</v>
      </c>
      <c r="G412" s="6" t="n">
        <v>0.0672710844704019</v>
      </c>
      <c r="H412" s="6" t="n">
        <v>0.0706205547076577</v>
      </c>
      <c r="I412" s="7" t="n">
        <v>0.340807533507541</v>
      </c>
      <c r="J412" s="6" t="n">
        <f aca="false">EXP(G412)</f>
        <v>1.0695853868661</v>
      </c>
      <c r="K412" s="6" t="n">
        <f aca="false">EXP(G412-1.96*H412)</f>
        <v>0.931326651112102</v>
      </c>
      <c r="L412" s="6" t="n">
        <f aca="false">EXP(G412+1.96*H412)</f>
        <v>1.22836912100758</v>
      </c>
      <c r="M412" s="5" t="s">
        <v>78</v>
      </c>
      <c r="N412" s="5"/>
    </row>
    <row r="413" customFormat="false" ht="15" hidden="false" customHeight="true" outlineLevel="0" collapsed="false">
      <c r="A413" s="5" t="s">
        <v>133</v>
      </c>
      <c r="B413" s="5" t="s">
        <v>134</v>
      </c>
      <c r="C413" s="5" t="s">
        <v>83</v>
      </c>
      <c r="D413" s="5" t="s">
        <v>84</v>
      </c>
      <c r="E413" s="5" t="s">
        <v>121</v>
      </c>
      <c r="F413" s="5" t="n">
        <v>85</v>
      </c>
      <c r="G413" s="6" t="n">
        <v>-0.0816147623499507</v>
      </c>
      <c r="H413" s="6" t="n">
        <v>0.191405204352507</v>
      </c>
      <c r="I413" s="7" t="n">
        <v>0.670921853436387</v>
      </c>
      <c r="J413" s="6" t="n">
        <f aca="false">EXP(G413)</f>
        <v>0.921626935711639</v>
      </c>
      <c r="K413" s="6" t="n">
        <f aca="false">EXP(G413-1.96*H413)</f>
        <v>0.633326645124721</v>
      </c>
      <c r="L413" s="6" t="n">
        <f aca="false">EXP(G413+1.96*H413)</f>
        <v>1.34116607151741</v>
      </c>
      <c r="M413" s="5" t="s">
        <v>78</v>
      </c>
      <c r="N413" s="5"/>
    </row>
    <row r="414" customFormat="false" ht="15" hidden="false" customHeight="true" outlineLevel="0" collapsed="false">
      <c r="A414" s="5" t="s">
        <v>133</v>
      </c>
      <c r="B414" s="5" t="s">
        <v>134</v>
      </c>
      <c r="C414" s="5" t="s">
        <v>83</v>
      </c>
      <c r="D414" s="5" t="s">
        <v>84</v>
      </c>
      <c r="E414" s="5" t="s">
        <v>122</v>
      </c>
      <c r="F414" s="5" t="n">
        <v>85</v>
      </c>
      <c r="G414" s="6" t="n">
        <v>0.0281877453264018</v>
      </c>
      <c r="H414" s="6" t="n">
        <v>4.0668675243056</v>
      </c>
      <c r="I414" s="7" t="n">
        <v>0.994469850175061</v>
      </c>
      <c r="J414" s="6" t="n">
        <f aca="false">EXP(G414)</f>
        <v>1.02858877903061</v>
      </c>
      <c r="K414" s="6" t="s">
        <v>81</v>
      </c>
      <c r="L414" s="6" t="s">
        <v>81</v>
      </c>
      <c r="M414" s="5" t="s">
        <v>78</v>
      </c>
      <c r="N414" s="5" t="s">
        <v>123</v>
      </c>
    </row>
    <row r="415" customFormat="false" ht="15" hidden="false" customHeight="true" outlineLevel="0" collapsed="false">
      <c r="A415" s="5" t="s">
        <v>133</v>
      </c>
      <c r="B415" s="5" t="s">
        <v>134</v>
      </c>
      <c r="C415" s="5" t="s">
        <v>83</v>
      </c>
      <c r="D415" s="5" t="s">
        <v>84</v>
      </c>
      <c r="E415" s="5" t="s">
        <v>124</v>
      </c>
      <c r="F415" s="5" t="n">
        <v>85</v>
      </c>
      <c r="G415" s="6" t="n">
        <v>0.0823529411764705</v>
      </c>
      <c r="H415" s="6"/>
      <c r="I415" s="7" t="n">
        <v>0.515425731883901</v>
      </c>
      <c r="J415" s="6" t="n">
        <f aca="false">EXP(G415)</f>
        <v>1.08583897949428</v>
      </c>
      <c r="K415" s="6" t="s">
        <v>81</v>
      </c>
      <c r="L415" s="6" t="s">
        <v>81</v>
      </c>
      <c r="M415" s="5" t="s">
        <v>78</v>
      </c>
      <c r="N415" s="5" t="s">
        <v>125</v>
      </c>
    </row>
    <row r="416" customFormat="false" ht="15" hidden="false" customHeight="true" outlineLevel="0" collapsed="false">
      <c r="A416" s="5" t="s">
        <v>133</v>
      </c>
      <c r="B416" s="5" t="s">
        <v>134</v>
      </c>
      <c r="C416" s="5" t="s">
        <v>86</v>
      </c>
      <c r="D416" s="5" t="s">
        <v>87</v>
      </c>
      <c r="E416" s="5" t="s">
        <v>100</v>
      </c>
      <c r="F416" s="5" t="n">
        <v>85</v>
      </c>
      <c r="G416" s="6" t="n">
        <v>0.0521495648414711</v>
      </c>
      <c r="H416" s="6" t="n">
        <v>0.0349943047979347</v>
      </c>
      <c r="I416" s="7" t="n">
        <v>0.13616375577691</v>
      </c>
      <c r="J416" s="6" t="n">
        <f aca="false">EXP(G416)</f>
        <v>1.05353330227171</v>
      </c>
      <c r="K416" s="6" t="n">
        <f aca="false">EXP(G416-1.96*H416)</f>
        <v>0.983695114860489</v>
      </c>
      <c r="L416" s="6" t="n">
        <f aca="false">EXP(G416+1.96*H416)</f>
        <v>1.12832970523895</v>
      </c>
      <c r="M416" s="5" t="s">
        <v>78</v>
      </c>
      <c r="N416" s="5"/>
    </row>
    <row r="417" customFormat="false" ht="15" hidden="false" customHeight="true" outlineLevel="0" collapsed="false">
      <c r="A417" s="5" t="s">
        <v>133</v>
      </c>
      <c r="B417" s="5" t="s">
        <v>134</v>
      </c>
      <c r="C417" s="5" t="s">
        <v>86</v>
      </c>
      <c r="D417" s="5" t="s">
        <v>87</v>
      </c>
      <c r="E417" s="5" t="s">
        <v>101</v>
      </c>
      <c r="F417" s="5" t="n">
        <v>85</v>
      </c>
      <c r="G417" s="6" t="n">
        <v>0.0521495648414711</v>
      </c>
      <c r="H417" s="6" t="n">
        <v>0.0349943047979347</v>
      </c>
      <c r="I417" s="7" t="n">
        <v>0.13616375577691</v>
      </c>
      <c r="J417" s="6" t="n">
        <f aca="false">EXP(G417)</f>
        <v>1.05353330227171</v>
      </c>
      <c r="K417" s="6" t="n">
        <f aca="false">EXP(G417-1.96*H417)</f>
        <v>0.983695114860489</v>
      </c>
      <c r="L417" s="6" t="n">
        <f aca="false">EXP(G417+1.96*H417)</f>
        <v>1.12832970523895</v>
      </c>
      <c r="M417" s="5" t="s">
        <v>78</v>
      </c>
      <c r="N417" s="5" t="s">
        <v>102</v>
      </c>
    </row>
    <row r="418" customFormat="false" ht="15" hidden="false" customHeight="true" outlineLevel="0" collapsed="false">
      <c r="A418" s="5" t="s">
        <v>133</v>
      </c>
      <c r="B418" s="5" t="s">
        <v>134</v>
      </c>
      <c r="C418" s="5" t="s">
        <v>86</v>
      </c>
      <c r="D418" s="5" t="s">
        <v>87</v>
      </c>
      <c r="E418" s="5" t="s">
        <v>103</v>
      </c>
      <c r="F418" s="5" t="n">
        <v>85</v>
      </c>
      <c r="G418" s="6" t="n">
        <v>0.0521495648414711</v>
      </c>
      <c r="H418" s="6" t="n">
        <v>0.0305516576458398</v>
      </c>
      <c r="I418" s="7" t="n">
        <v>0.0878349188163518</v>
      </c>
      <c r="J418" s="6" t="n">
        <f aca="false">EXP(G418)</f>
        <v>1.05353330227171</v>
      </c>
      <c r="K418" s="6" t="n">
        <f aca="false">EXP(G418-1.96*H418)</f>
        <v>0.992298128442166</v>
      </c>
      <c r="L418" s="6" t="n">
        <f aca="false">EXP(G418+1.96*H418)</f>
        <v>1.1185473268382</v>
      </c>
      <c r="M418" s="5" t="s">
        <v>78</v>
      </c>
      <c r="N418" s="5" t="s">
        <v>104</v>
      </c>
    </row>
    <row r="419" customFormat="false" ht="15" hidden="false" customHeight="true" outlineLevel="0" collapsed="false">
      <c r="A419" s="5" t="s">
        <v>133</v>
      </c>
      <c r="B419" s="5" t="s">
        <v>134</v>
      </c>
      <c r="C419" s="5" t="s">
        <v>86</v>
      </c>
      <c r="D419" s="5" t="s">
        <v>87</v>
      </c>
      <c r="E419" s="5" t="s">
        <v>105</v>
      </c>
      <c r="F419" s="5" t="n">
        <v>85</v>
      </c>
      <c r="G419" s="6" t="n">
        <v>0.0521595804466302</v>
      </c>
      <c r="H419" s="6" t="n">
        <v>0.0349947042786667</v>
      </c>
      <c r="I419" s="7" t="n">
        <v>0.136093013785239</v>
      </c>
      <c r="J419" s="6" t="n">
        <f aca="false">EXP(G419)</f>
        <v>1.05354385409813</v>
      </c>
      <c r="K419" s="6" t="n">
        <f aca="false">EXP(G419-1.96*H419)</f>
        <v>0.983704196988482</v>
      </c>
      <c r="L419" s="6" t="n">
        <f aca="false">EXP(G419+1.96*H419)</f>
        <v>1.12834188967167</v>
      </c>
      <c r="M419" s="5" t="s">
        <v>78</v>
      </c>
      <c r="N419" s="5" t="s">
        <v>106</v>
      </c>
    </row>
    <row r="420" customFormat="false" ht="15" hidden="false" customHeight="true" outlineLevel="0" collapsed="false">
      <c r="A420" s="5" t="s">
        <v>133</v>
      </c>
      <c r="B420" s="5" t="s">
        <v>134</v>
      </c>
      <c r="C420" s="5" t="s">
        <v>86</v>
      </c>
      <c r="D420" s="5" t="s">
        <v>87</v>
      </c>
      <c r="E420" s="5" t="s">
        <v>107</v>
      </c>
      <c r="F420" s="5" t="n">
        <v>85</v>
      </c>
      <c r="G420" s="6" t="n">
        <v>0.0525972438937421</v>
      </c>
      <c r="H420" s="6" t="n">
        <v>0.0310865766539644</v>
      </c>
      <c r="I420" s="7" t="n">
        <v>0.0906536026854264</v>
      </c>
      <c r="J420" s="6" t="n">
        <f aca="false">EXP(G420)</f>
        <v>1.05400505265051</v>
      </c>
      <c r="K420" s="6" t="n">
        <f aca="false">EXP(G420-1.96*H420)</f>
        <v>0.99170217226374</v>
      </c>
      <c r="L420" s="6" t="n">
        <f aca="false">EXP(G420+1.96*H420)</f>
        <v>1.12022206069884</v>
      </c>
      <c r="M420" s="5" t="s">
        <v>78</v>
      </c>
      <c r="N420" s="5"/>
    </row>
    <row r="421" customFormat="false" ht="15" hidden="false" customHeight="true" outlineLevel="0" collapsed="false">
      <c r="A421" s="5" t="s">
        <v>133</v>
      </c>
      <c r="B421" s="5" t="s">
        <v>134</v>
      </c>
      <c r="C421" s="5" t="s">
        <v>86</v>
      </c>
      <c r="D421" s="5" t="s">
        <v>87</v>
      </c>
      <c r="E421" s="5" t="s">
        <v>108</v>
      </c>
      <c r="F421" s="5" t="n">
        <v>85</v>
      </c>
      <c r="G421" s="6" t="n">
        <v>0.0909154081494992</v>
      </c>
      <c r="H421" s="6" t="n">
        <v>0.176884670318932</v>
      </c>
      <c r="I421" s="7" t="n">
        <v>0.6086308083333</v>
      </c>
      <c r="J421" s="6" t="n">
        <f aca="false">EXP(G421)</f>
        <v>1.09517635834516</v>
      </c>
      <c r="K421" s="6" t="n">
        <f aca="false">EXP(G421-1.96*H421)</f>
        <v>0.774313424863075</v>
      </c>
      <c r="L421" s="6" t="n">
        <f aca="false">EXP(G421+1.96*H421)</f>
        <v>1.5489996910363</v>
      </c>
      <c r="M421" s="5" t="s">
        <v>78</v>
      </c>
      <c r="N421" s="5"/>
    </row>
    <row r="422" customFormat="false" ht="15" hidden="false" customHeight="true" outlineLevel="0" collapsed="false">
      <c r="A422" s="5" t="s">
        <v>133</v>
      </c>
      <c r="B422" s="5" t="s">
        <v>134</v>
      </c>
      <c r="C422" s="5" t="s">
        <v>86</v>
      </c>
      <c r="D422" s="5" t="s">
        <v>87</v>
      </c>
      <c r="E422" s="5" t="s">
        <v>109</v>
      </c>
      <c r="F422" s="5" t="n">
        <v>85</v>
      </c>
      <c r="G422" s="6" t="n">
        <v>0.0419259403048965</v>
      </c>
      <c r="H422" s="6" t="n">
        <v>0.0881775727407218</v>
      </c>
      <c r="I422" s="7" t="n">
        <v>0.317</v>
      </c>
      <c r="J422" s="6" t="n">
        <f aca="false">EXP(G422)</f>
        <v>1.04281724516363</v>
      </c>
      <c r="K422" s="6" t="n">
        <f aca="false">EXP(G422-1.96*H422)</f>
        <v>0.877303656226325</v>
      </c>
      <c r="L422" s="6" t="n">
        <f aca="false">EXP(G422+1.96*H422)</f>
        <v>1.23955690722678</v>
      </c>
      <c r="M422" s="5" t="s">
        <v>78</v>
      </c>
      <c r="N422" s="5" t="s">
        <v>110</v>
      </c>
    </row>
    <row r="423" customFormat="false" ht="15" hidden="false" customHeight="true" outlineLevel="0" collapsed="false">
      <c r="A423" s="5" t="s">
        <v>133</v>
      </c>
      <c r="B423" s="5" t="s">
        <v>134</v>
      </c>
      <c r="C423" s="5" t="s">
        <v>86</v>
      </c>
      <c r="D423" s="5" t="s">
        <v>87</v>
      </c>
      <c r="E423" s="5" t="s">
        <v>111</v>
      </c>
      <c r="F423" s="5" t="n">
        <v>85</v>
      </c>
      <c r="G423" s="6" t="n">
        <v>0.025521516233279</v>
      </c>
      <c r="H423" s="6" t="n">
        <v>0.0454651876839617</v>
      </c>
      <c r="I423" s="7" t="n">
        <v>0.574564462194585</v>
      </c>
      <c r="J423" s="6" t="n">
        <f aca="false">EXP(G423)</f>
        <v>1.02584997846043</v>
      </c>
      <c r="K423" s="6" t="n">
        <f aca="false">EXP(G423-1.96*H423)</f>
        <v>0.938389424306219</v>
      </c>
      <c r="L423" s="6" t="n">
        <f aca="false">EXP(G423+1.96*H423)</f>
        <v>1.12146210416355</v>
      </c>
      <c r="M423" s="5" t="s">
        <v>78</v>
      </c>
      <c r="N423" s="5"/>
    </row>
    <row r="424" customFormat="false" ht="15" hidden="false" customHeight="true" outlineLevel="0" collapsed="false">
      <c r="A424" s="5" t="s">
        <v>133</v>
      </c>
      <c r="B424" s="5" t="s">
        <v>134</v>
      </c>
      <c r="C424" s="5" t="s">
        <v>86</v>
      </c>
      <c r="D424" s="5" t="s">
        <v>87</v>
      </c>
      <c r="E424" s="5" t="s">
        <v>112</v>
      </c>
      <c r="F424" s="5" t="n">
        <v>85</v>
      </c>
      <c r="G424" s="6" t="n">
        <v>0.0313918823968926</v>
      </c>
      <c r="H424" s="6" t="n">
        <v>0.0459397908840424</v>
      </c>
      <c r="I424" s="7" t="n">
        <v>0.49440047173393</v>
      </c>
      <c r="J424" s="6" t="n">
        <f aca="false">EXP(G424)</f>
        <v>1.03188980411204</v>
      </c>
      <c r="K424" s="6" t="n">
        <f aca="false">EXP(G424-1.96*H424)</f>
        <v>0.943036672674987</v>
      </c>
      <c r="L424" s="6" t="n">
        <f aca="false">EXP(G424+1.96*H424)</f>
        <v>1.12911469795763</v>
      </c>
      <c r="M424" s="5" t="s">
        <v>78</v>
      </c>
      <c r="N424" s="5"/>
    </row>
    <row r="425" customFormat="false" ht="15" hidden="false" customHeight="true" outlineLevel="0" collapsed="false">
      <c r="A425" s="5" t="s">
        <v>133</v>
      </c>
      <c r="B425" s="5" t="s">
        <v>134</v>
      </c>
      <c r="C425" s="5" t="s">
        <v>86</v>
      </c>
      <c r="D425" s="5" t="s">
        <v>87</v>
      </c>
      <c r="E425" s="5" t="s">
        <v>113</v>
      </c>
      <c r="F425" s="5" t="n">
        <v>85</v>
      </c>
      <c r="G425" s="6" t="n">
        <v>0.0310790456994613</v>
      </c>
      <c r="H425" s="6" t="n">
        <v>0.0462490237176161</v>
      </c>
      <c r="I425" s="7" t="n">
        <v>0.501587801595583</v>
      </c>
      <c r="J425" s="6" t="n">
        <f aca="false">EXP(G425)</f>
        <v>1.03156704160222</v>
      </c>
      <c r="K425" s="6" t="n">
        <f aca="false">EXP(G425-1.96*H425)</f>
        <v>0.942170483153982</v>
      </c>
      <c r="L425" s="6" t="n">
        <f aca="false">EXP(G425+1.96*H425)</f>
        <v>1.12944587030333</v>
      </c>
      <c r="M425" s="5" t="s">
        <v>78</v>
      </c>
      <c r="N425" s="5"/>
    </row>
    <row r="426" customFormat="false" ht="15" hidden="false" customHeight="true" outlineLevel="0" collapsed="false">
      <c r="A426" s="5" t="s">
        <v>133</v>
      </c>
      <c r="B426" s="5" t="s">
        <v>134</v>
      </c>
      <c r="C426" s="5" t="s">
        <v>86</v>
      </c>
      <c r="D426" s="5" t="s">
        <v>87</v>
      </c>
      <c r="E426" s="5" t="s">
        <v>114</v>
      </c>
      <c r="F426" s="5" t="n">
        <v>85</v>
      </c>
      <c r="G426" s="6" t="n">
        <v>-0.0493709932048865</v>
      </c>
      <c r="H426" s="6" t="n">
        <v>0.117226365566456</v>
      </c>
      <c r="I426" s="7" t="n">
        <v>0.674714335791676</v>
      </c>
      <c r="J426" s="6" t="n">
        <f aca="false">EXP(G426)</f>
        <v>0.951827942488644</v>
      </c>
      <c r="K426" s="6" t="n">
        <f aca="false">EXP(G426-1.96*H426)</f>
        <v>0.756438027061759</v>
      </c>
      <c r="L426" s="6" t="n">
        <f aca="false">EXP(G426+1.96*H426)</f>
        <v>1.19768758271085</v>
      </c>
      <c r="M426" s="5" t="s">
        <v>78</v>
      </c>
      <c r="N426" s="5"/>
    </row>
    <row r="427" customFormat="false" ht="15" hidden="false" customHeight="true" outlineLevel="0" collapsed="false">
      <c r="A427" s="5" t="s">
        <v>133</v>
      </c>
      <c r="B427" s="5" t="s">
        <v>134</v>
      </c>
      <c r="C427" s="5" t="s">
        <v>86</v>
      </c>
      <c r="D427" s="5" t="s">
        <v>87</v>
      </c>
      <c r="E427" s="5" t="s">
        <v>115</v>
      </c>
      <c r="F427" s="5" t="n">
        <v>85</v>
      </c>
      <c r="G427" s="6" t="n">
        <v>-0.0493709932048865</v>
      </c>
      <c r="H427" s="6" t="n">
        <v>0.126428557294803</v>
      </c>
      <c r="I427" s="7" t="n">
        <v>0.697151683301255</v>
      </c>
      <c r="J427" s="6" t="n">
        <f aca="false">EXP(G427)</f>
        <v>0.951827942488644</v>
      </c>
      <c r="K427" s="6" t="n">
        <f aca="false">EXP(G427-1.96*H427)</f>
        <v>0.742916988327511</v>
      </c>
      <c r="L427" s="6" t="n">
        <f aca="false">EXP(G427+1.96*H427)</f>
        <v>1.21948541537829</v>
      </c>
      <c r="M427" s="5" t="s">
        <v>78</v>
      </c>
      <c r="N427" s="5" t="s">
        <v>116</v>
      </c>
    </row>
    <row r="428" customFormat="false" ht="15" hidden="false" customHeight="true" outlineLevel="0" collapsed="false">
      <c r="A428" s="5" t="s">
        <v>133</v>
      </c>
      <c r="B428" s="5" t="s">
        <v>134</v>
      </c>
      <c r="C428" s="5" t="s">
        <v>86</v>
      </c>
      <c r="D428" s="5" t="s">
        <v>87</v>
      </c>
      <c r="E428" s="5" t="s">
        <v>117</v>
      </c>
      <c r="F428" s="5" t="n">
        <v>85</v>
      </c>
      <c r="G428" s="6" t="n">
        <v>-0.0123073692808596</v>
      </c>
      <c r="H428" s="6" t="n">
        <v>0.103945701002646</v>
      </c>
      <c r="I428" s="7" t="n">
        <v>0.906031896879439</v>
      </c>
      <c r="J428" s="6" t="n">
        <f aca="false">EXP(G428)</f>
        <v>0.987768056639799</v>
      </c>
      <c r="K428" s="6" t="n">
        <f aca="false">EXP(G428-1.96*H428)</f>
        <v>0.805702313130105</v>
      </c>
      <c r="L428" s="6" t="n">
        <f aca="false">EXP(G428+1.96*H428)</f>
        <v>1.21097546552583</v>
      </c>
      <c r="M428" s="5" t="s">
        <v>78</v>
      </c>
      <c r="N428" s="5"/>
    </row>
    <row r="429" customFormat="false" ht="15" hidden="false" customHeight="true" outlineLevel="0" collapsed="false">
      <c r="A429" s="5" t="s">
        <v>133</v>
      </c>
      <c r="B429" s="5" t="s">
        <v>134</v>
      </c>
      <c r="C429" s="5" t="s">
        <v>86</v>
      </c>
      <c r="D429" s="5" t="s">
        <v>87</v>
      </c>
      <c r="E429" s="5" t="s">
        <v>118</v>
      </c>
      <c r="F429" s="5" t="n">
        <v>85</v>
      </c>
      <c r="G429" s="6" t="n">
        <v>-0.0123073692808596</v>
      </c>
      <c r="H429" s="6" t="n">
        <v>0.119374897184607</v>
      </c>
      <c r="I429" s="7" t="n">
        <v>0.918130559115683</v>
      </c>
      <c r="J429" s="6" t="n">
        <f aca="false">EXP(G429)</f>
        <v>0.987768056639799</v>
      </c>
      <c r="K429" s="6" t="n">
        <f aca="false">EXP(G429-1.96*H429)</f>
        <v>0.78170162280554</v>
      </c>
      <c r="L429" s="6" t="n">
        <f aca="false">EXP(G429+1.96*H429)</f>
        <v>1.24815620852393</v>
      </c>
      <c r="M429" s="5" t="s">
        <v>78</v>
      </c>
      <c r="N429" s="5" t="s">
        <v>119</v>
      </c>
    </row>
    <row r="430" customFormat="false" ht="15" hidden="false" customHeight="true" outlineLevel="0" collapsed="false">
      <c r="A430" s="5" t="s">
        <v>133</v>
      </c>
      <c r="B430" s="5" t="s">
        <v>134</v>
      </c>
      <c r="C430" s="5" t="s">
        <v>86</v>
      </c>
      <c r="D430" s="5" t="s">
        <v>87</v>
      </c>
      <c r="E430" s="5" t="s">
        <v>120</v>
      </c>
      <c r="F430" s="5" t="n">
        <v>85</v>
      </c>
      <c r="G430" s="6" t="n">
        <v>0.0499424489242808</v>
      </c>
      <c r="H430" s="6" t="n">
        <v>0.035265142892233</v>
      </c>
      <c r="I430" s="7" t="n">
        <v>0.156717341358039</v>
      </c>
      <c r="J430" s="6" t="n">
        <f aca="false">EXP(G430)</f>
        <v>1.05121059633449</v>
      </c>
      <c r="K430" s="6" t="n">
        <f aca="false">EXP(G430-1.96*H430)</f>
        <v>0.981005482110423</v>
      </c>
      <c r="L430" s="6" t="n">
        <f aca="false">EXP(G430+1.96*H430)</f>
        <v>1.12643990069113</v>
      </c>
      <c r="M430" s="5" t="s">
        <v>78</v>
      </c>
      <c r="N430" s="5"/>
    </row>
    <row r="431" customFormat="false" ht="15" hidden="false" customHeight="true" outlineLevel="0" collapsed="false">
      <c r="A431" s="5" t="s">
        <v>133</v>
      </c>
      <c r="B431" s="5" t="s">
        <v>134</v>
      </c>
      <c r="C431" s="5" t="s">
        <v>86</v>
      </c>
      <c r="D431" s="5" t="s">
        <v>87</v>
      </c>
      <c r="E431" s="5" t="s">
        <v>121</v>
      </c>
      <c r="F431" s="5" t="n">
        <v>85</v>
      </c>
      <c r="G431" s="6" t="n">
        <v>0.0460365197133714</v>
      </c>
      <c r="H431" s="6" t="n">
        <v>0.0989829759261963</v>
      </c>
      <c r="I431" s="7" t="n">
        <v>0.643081125348202</v>
      </c>
      <c r="J431" s="6" t="n">
        <f aca="false">EXP(G431)</f>
        <v>1.04711265051255</v>
      </c>
      <c r="K431" s="6" t="n">
        <f aca="false">EXP(G431-1.96*H431)</f>
        <v>0.86245689071801</v>
      </c>
      <c r="L431" s="6" t="n">
        <f aca="false">EXP(G431+1.96*H431)</f>
        <v>1.27130400912051</v>
      </c>
      <c r="M431" s="5" t="s">
        <v>78</v>
      </c>
      <c r="N431" s="5"/>
    </row>
    <row r="432" customFormat="false" ht="15" hidden="false" customHeight="true" outlineLevel="0" collapsed="false">
      <c r="A432" s="5" t="s">
        <v>133</v>
      </c>
      <c r="B432" s="5" t="s">
        <v>134</v>
      </c>
      <c r="C432" s="5" t="s">
        <v>86</v>
      </c>
      <c r="D432" s="5" t="s">
        <v>87</v>
      </c>
      <c r="E432" s="5" t="s">
        <v>122</v>
      </c>
      <c r="F432" s="5" t="n">
        <v>85</v>
      </c>
      <c r="G432" s="6" t="n">
        <v>0.0864680320327894</v>
      </c>
      <c r="H432" s="6" t="n">
        <v>4.0668675243056</v>
      </c>
      <c r="I432" s="7" t="n">
        <v>0.983036991071976</v>
      </c>
      <c r="J432" s="6" t="n">
        <f aca="false">EXP(G432)</f>
        <v>1.09031651195815</v>
      </c>
      <c r="K432" s="6" t="s">
        <v>81</v>
      </c>
      <c r="L432" s="6" t="s">
        <v>81</v>
      </c>
      <c r="M432" s="5" t="s">
        <v>78</v>
      </c>
      <c r="N432" s="5" t="s">
        <v>123</v>
      </c>
    </row>
    <row r="433" customFormat="false" ht="15" hidden="false" customHeight="true" outlineLevel="0" collapsed="false">
      <c r="A433" s="5" t="s">
        <v>133</v>
      </c>
      <c r="B433" s="5" t="s">
        <v>134</v>
      </c>
      <c r="C433" s="5" t="s">
        <v>86</v>
      </c>
      <c r="D433" s="5" t="s">
        <v>87</v>
      </c>
      <c r="E433" s="5" t="s">
        <v>124</v>
      </c>
      <c r="F433" s="5" t="n">
        <v>85</v>
      </c>
      <c r="G433" s="6" t="n">
        <v>0.105882352941177</v>
      </c>
      <c r="H433" s="6"/>
      <c r="I433" s="7" t="n">
        <v>0.385669420119278</v>
      </c>
      <c r="J433" s="6" t="n">
        <f aca="false">EXP(G433)</f>
        <v>1.11169108162679</v>
      </c>
      <c r="K433" s="6" t="s">
        <v>81</v>
      </c>
      <c r="L433" s="6" t="s">
        <v>81</v>
      </c>
      <c r="M433" s="5" t="s">
        <v>78</v>
      </c>
      <c r="N433" s="5" t="s">
        <v>125</v>
      </c>
    </row>
  </sheetData>
  <autoFilter ref="A1:N43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 min="2" style="1" width="34"/>
    <col collapsed="false" customWidth="true" hidden="false" outlineLevel="0" max="3" min="3" style="1" width="8"/>
    <col collapsed="false" customWidth="true" hidden="false" outlineLevel="0" max="7" min="4" style="1" width="11"/>
    <col collapsed="false" customWidth="true" hidden="false" outlineLevel="0" max="9" min="8" style="1" width="10"/>
    <col collapsed="false" customWidth="true" hidden="false" outlineLevel="0" max="10" min="10" style="1" width="11"/>
    <col collapsed="false" customWidth="true" hidden="false" outlineLevel="0" max="12" min="11" style="1" width="12"/>
    <col collapsed="false" customWidth="true" hidden="false" outlineLevel="0" max="13" min="13" style="1" width="26"/>
  </cols>
  <sheetData>
    <row r="1" customFormat="false" ht="31.5" hidden="false" customHeight="true" outlineLevel="0" collapsed="false">
      <c r="A1" s="4" t="s">
        <v>46</v>
      </c>
      <c r="B1" s="4" t="s">
        <v>47</v>
      </c>
      <c r="C1" s="4" t="s">
        <v>49</v>
      </c>
      <c r="D1" s="4" t="s">
        <v>50</v>
      </c>
      <c r="E1" s="4" t="s">
        <v>51</v>
      </c>
      <c r="F1" s="4" t="s">
        <v>52</v>
      </c>
      <c r="G1" s="4" t="s">
        <v>135</v>
      </c>
      <c r="H1" s="4" t="s">
        <v>54</v>
      </c>
      <c r="I1" s="4" t="s">
        <v>55</v>
      </c>
      <c r="J1" s="4" t="s">
        <v>136</v>
      </c>
      <c r="K1" s="4" t="s">
        <v>137</v>
      </c>
      <c r="L1" s="4" t="s">
        <v>138</v>
      </c>
      <c r="M1" s="4" t="s">
        <v>139</v>
      </c>
    </row>
    <row r="2" customFormat="false" ht="15" hidden="false" customHeight="true" outlineLevel="0" collapsed="false">
      <c r="A2" s="5" t="s">
        <v>127</v>
      </c>
      <c r="B2" s="5" t="s">
        <v>75</v>
      </c>
      <c r="C2" s="5" t="n">
        <v>391</v>
      </c>
      <c r="D2" s="6" t="n">
        <v>-0.00358881807155787</v>
      </c>
      <c r="E2" s="6" t="n">
        <v>0.0023244686867397</v>
      </c>
      <c r="F2" s="7" t="n">
        <v>0.122605173479018</v>
      </c>
      <c r="G2" s="6" t="n">
        <f aca="false">EXP(D2)</f>
        <v>0.996417614039158</v>
      </c>
      <c r="H2" s="6" t="n">
        <f aca="false">EXP(D2-1.96*E2)</f>
        <v>0.991888302128686</v>
      </c>
      <c r="I2" s="6" t="n">
        <f aca="false">EXP(D2+1.96*E2)</f>
        <v>1.00096760838569</v>
      </c>
      <c r="J2" s="7" t="n">
        <v>0.000201882630006793</v>
      </c>
      <c r="K2" s="7" t="n">
        <v>0.692982829440725</v>
      </c>
      <c r="L2" s="7" t="n">
        <v>0.601316449729924</v>
      </c>
      <c r="M2" s="5" t="s">
        <v>140</v>
      </c>
    </row>
    <row r="3" customFormat="false" ht="15" hidden="false" customHeight="true" outlineLevel="0" collapsed="false">
      <c r="A3" s="5" t="s">
        <v>127</v>
      </c>
      <c r="B3" s="5" t="s">
        <v>79</v>
      </c>
      <c r="C3" s="5" t="n">
        <v>443</v>
      </c>
      <c r="D3" s="6" t="n">
        <v>-0.000100954355412276</v>
      </c>
      <c r="E3" s="6" t="n">
        <v>5.00687492972176E-005</v>
      </c>
      <c r="F3" s="7" t="n">
        <v>0.0437670783278524</v>
      </c>
      <c r="G3" s="6" t="s">
        <v>81</v>
      </c>
      <c r="H3" s="6" t="s">
        <v>81</v>
      </c>
      <c r="I3" s="6" t="s">
        <v>81</v>
      </c>
      <c r="J3" s="7" t="n">
        <v>0.63889182505374</v>
      </c>
      <c r="K3" s="7" t="n">
        <v>0.666993596961244</v>
      </c>
      <c r="L3" s="7" t="n">
        <v>0.343919218127044</v>
      </c>
      <c r="M3" s="5" t="s">
        <v>141</v>
      </c>
    </row>
    <row r="4" customFormat="false" ht="15" hidden="false" customHeight="true" outlineLevel="0" collapsed="false">
      <c r="A4" s="5" t="s">
        <v>127</v>
      </c>
      <c r="B4" s="5" t="s">
        <v>83</v>
      </c>
      <c r="C4" s="5" t="n">
        <v>434</v>
      </c>
      <c r="D4" s="6" t="n">
        <v>0.0028929579443562</v>
      </c>
      <c r="E4" s="6" t="n">
        <v>0.00225133483948068</v>
      </c>
      <c r="F4" s="7" t="n">
        <v>0.198793420904864</v>
      </c>
      <c r="G4" s="6" t="n">
        <f aca="false">EXP(D4)</f>
        <v>1.0028971465854</v>
      </c>
      <c r="H4" s="6" t="n">
        <f aca="false">EXP(D4-1.96*E4)</f>
        <v>0.998481495755026</v>
      </c>
      <c r="I4" s="6" t="n">
        <f aca="false">EXP(D4+1.96*E4)</f>
        <v>1.00733232504082</v>
      </c>
      <c r="J4" s="7" t="n">
        <v>0.0471321699989928</v>
      </c>
      <c r="K4" s="7" t="n">
        <v>0.777427913330429</v>
      </c>
      <c r="L4" s="7" t="n">
        <v>0.487025169698376</v>
      </c>
      <c r="M4" s="5" t="s">
        <v>140</v>
      </c>
    </row>
    <row r="5" customFormat="false" ht="15" hidden="false" customHeight="true" outlineLevel="0" collapsed="false">
      <c r="A5" s="5" t="s">
        <v>127</v>
      </c>
      <c r="B5" s="5" t="s">
        <v>86</v>
      </c>
      <c r="C5" s="5" t="n">
        <v>438</v>
      </c>
      <c r="D5" s="6" t="n">
        <v>-0.00115033939200645</v>
      </c>
      <c r="E5" s="6" t="n">
        <v>0.00146266749708912</v>
      </c>
      <c r="F5" s="7" t="n">
        <v>0.431594075516098</v>
      </c>
      <c r="G5" s="6" t="n">
        <f aca="false">EXP(D5)</f>
        <v>0.998850321994721</v>
      </c>
      <c r="H5" s="6" t="n">
        <f aca="false">EXP(D5-1.96*E5)</f>
        <v>0.995990890338053</v>
      </c>
      <c r="I5" s="6" t="n">
        <f aca="false">EXP(D5+1.96*E5)</f>
        <v>1.00171796291262</v>
      </c>
      <c r="J5" s="7" t="n">
        <v>7.31610983804461E-013</v>
      </c>
      <c r="K5" s="7" t="n">
        <v>0.192158149627576</v>
      </c>
      <c r="L5" s="7" t="n">
        <v>0.759374348427397</v>
      </c>
      <c r="M5" s="5" t="s">
        <v>140</v>
      </c>
    </row>
    <row r="6" customFormat="false" ht="15" hidden="false" customHeight="true" outlineLevel="0" collapsed="false">
      <c r="A6" s="5" t="s">
        <v>129</v>
      </c>
      <c r="B6" s="5" t="s">
        <v>75</v>
      </c>
      <c r="C6" s="5" t="n">
        <v>392</v>
      </c>
      <c r="D6" s="6" t="n">
        <v>-0.0111044800063166</v>
      </c>
      <c r="E6" s="6" t="n">
        <v>0.00380591542650741</v>
      </c>
      <c r="F6" s="7" t="n">
        <v>0.00352635146410825</v>
      </c>
      <c r="G6" s="6" t="n">
        <f aca="false">EXP(D6)</f>
        <v>0.988956947149333</v>
      </c>
      <c r="H6" s="6" t="n">
        <f aca="false">EXP(D6-1.96*E6)</f>
        <v>0.981607176840686</v>
      </c>
      <c r="I6" s="6" t="n">
        <f aca="false">EXP(D6+1.96*E6)</f>
        <v>0.996361748762625</v>
      </c>
      <c r="J6" s="7" t="n">
        <v>0.0217975726184149</v>
      </c>
      <c r="K6" s="7" t="n">
        <v>0.629478492279174</v>
      </c>
      <c r="L6" s="7" t="n">
        <v>0.269291466973576</v>
      </c>
      <c r="M6" s="5" t="s">
        <v>142</v>
      </c>
    </row>
    <row r="7" customFormat="false" ht="15" hidden="false" customHeight="true" outlineLevel="0" collapsed="false">
      <c r="A7" s="5" t="s">
        <v>129</v>
      </c>
      <c r="B7" s="5" t="s">
        <v>79</v>
      </c>
      <c r="C7" s="5" t="n">
        <v>446</v>
      </c>
      <c r="D7" s="6" t="n">
        <v>-0.000253529575522785</v>
      </c>
      <c r="E7" s="6" t="n">
        <v>8.58381753048718E-005</v>
      </c>
      <c r="F7" s="7" t="n">
        <v>0.00314115239940222</v>
      </c>
      <c r="G7" s="6" t="s">
        <v>81</v>
      </c>
      <c r="H7" s="6" t="s">
        <v>81</v>
      </c>
      <c r="I7" s="6" t="s">
        <v>81</v>
      </c>
      <c r="J7" s="7" t="n">
        <v>0.320354307648021</v>
      </c>
      <c r="K7" s="7" t="n">
        <v>0.330987979457647</v>
      </c>
      <c r="L7" s="7" t="n">
        <v>0.0399837885942197</v>
      </c>
      <c r="M7" s="5" t="s">
        <v>143</v>
      </c>
    </row>
    <row r="8" customFormat="false" ht="15" hidden="false" customHeight="true" outlineLevel="0" collapsed="false">
      <c r="A8" s="5" t="s">
        <v>129</v>
      </c>
      <c r="B8" s="5" t="s">
        <v>83</v>
      </c>
      <c r="C8" s="5" t="n">
        <v>435</v>
      </c>
      <c r="D8" s="6" t="n">
        <v>-0.000432548957146139</v>
      </c>
      <c r="E8" s="6" t="n">
        <v>0.00395058381796071</v>
      </c>
      <c r="F8" s="7" t="n">
        <v>0.912813946298301</v>
      </c>
      <c r="G8" s="6" t="n">
        <f aca="false">EXP(D8)</f>
        <v>0.999567544578667</v>
      </c>
      <c r="H8" s="6" t="n">
        <f aca="false">EXP(D8-1.96*E8)</f>
        <v>0.991857636845594</v>
      </c>
      <c r="I8" s="6" t="n">
        <f aca="false">EXP(D8+1.96*E8)</f>
        <v>1.00733738296615</v>
      </c>
      <c r="J8" s="7" t="n">
        <v>0.00360631755809656</v>
      </c>
      <c r="K8" s="7" t="n">
        <v>0.663230641558658</v>
      </c>
      <c r="L8" s="7" t="n">
        <v>0.881965780839727</v>
      </c>
      <c r="M8" s="5" t="s">
        <v>142</v>
      </c>
    </row>
    <row r="9" customFormat="false" ht="15" hidden="false" customHeight="true" outlineLevel="0" collapsed="false">
      <c r="A9" s="5" t="s">
        <v>129</v>
      </c>
      <c r="B9" s="5" t="s">
        <v>86</v>
      </c>
      <c r="C9" s="5" t="n">
        <v>438</v>
      </c>
      <c r="D9" s="6" t="n">
        <v>-0.00566171749521043</v>
      </c>
      <c r="E9" s="6" t="n">
        <v>0.00243674526114473</v>
      </c>
      <c r="F9" s="7" t="n">
        <v>0.0201536315460492</v>
      </c>
      <c r="G9" s="6" t="n">
        <f aca="false">EXP(D9)</f>
        <v>0.994354279822284</v>
      </c>
      <c r="H9" s="6" t="n">
        <f aca="false">EXP(D9-1.96*E9)</f>
        <v>0.989616545950279</v>
      </c>
      <c r="I9" s="6" t="n">
        <f aca="false">EXP(D9+1.96*E9)</f>
        <v>0.999114695330256</v>
      </c>
      <c r="J9" s="7" t="n">
        <v>6.94612430853465E-011</v>
      </c>
      <c r="K9" s="7" t="n">
        <v>0.244000706532055</v>
      </c>
      <c r="L9" s="7" t="n">
        <v>0.147853246295074</v>
      </c>
      <c r="M9" s="5" t="s">
        <v>142</v>
      </c>
    </row>
    <row r="10" customFormat="false" ht="15" hidden="false" customHeight="true" outlineLevel="0" collapsed="false">
      <c r="A10" s="5" t="s">
        <v>131</v>
      </c>
      <c r="B10" s="5" t="s">
        <v>75</v>
      </c>
      <c r="C10" s="5" t="n">
        <v>29</v>
      </c>
      <c r="D10" s="6" t="n">
        <v>-0.0942744415197088</v>
      </c>
      <c r="E10" s="6" t="n">
        <v>0.0620088920174563</v>
      </c>
      <c r="F10" s="7" t="n">
        <v>0.128426183274543</v>
      </c>
      <c r="G10" s="6" t="n">
        <f aca="false">EXP(D10)</f>
        <v>0.910032977133403</v>
      </c>
      <c r="H10" s="6" t="n">
        <f aca="false">EXP(D10-1.96*E10)</f>
        <v>0.805886899216972</v>
      </c>
      <c r="I10" s="6" t="n">
        <f aca="false">EXP(D10+1.96*E10)</f>
        <v>1.02763802250037</v>
      </c>
      <c r="J10" s="7" t="n">
        <v>0.469813843939611</v>
      </c>
      <c r="K10" s="7" t="n">
        <v>0.88598743069663</v>
      </c>
      <c r="L10" s="7" t="n">
        <v>0.10972282527005</v>
      </c>
      <c r="M10" s="5" t="s">
        <v>144</v>
      </c>
    </row>
    <row r="11" customFormat="false" ht="15" hidden="false" customHeight="true" outlineLevel="0" collapsed="false">
      <c r="A11" s="5" t="s">
        <v>131</v>
      </c>
      <c r="B11" s="5" t="s">
        <v>79</v>
      </c>
      <c r="C11" s="5" t="n">
        <v>34</v>
      </c>
      <c r="D11" s="6" t="n">
        <v>-0.00894196135950078</v>
      </c>
      <c r="E11" s="6" t="n">
        <v>0.00283048560960513</v>
      </c>
      <c r="F11" s="7" t="n">
        <v>0.00158223747100768</v>
      </c>
      <c r="G11" s="6" t="s">
        <v>81</v>
      </c>
      <c r="H11" s="6" t="s">
        <v>81</v>
      </c>
      <c r="I11" s="6" t="s">
        <v>81</v>
      </c>
      <c r="J11" s="7" t="n">
        <v>0.505083701235969</v>
      </c>
      <c r="K11" s="7" t="n">
        <v>0.240339776633477</v>
      </c>
      <c r="L11" s="7" t="n">
        <v>0.533866514748866</v>
      </c>
      <c r="M11" s="5" t="s">
        <v>145</v>
      </c>
    </row>
    <row r="12" customFormat="false" ht="15" hidden="false" customHeight="true" outlineLevel="0" collapsed="false">
      <c r="A12" s="5" t="s">
        <v>131</v>
      </c>
      <c r="B12" s="5" t="s">
        <v>83</v>
      </c>
      <c r="C12" s="5" t="n">
        <v>34</v>
      </c>
      <c r="D12" s="6" t="n">
        <v>-0.395463281007573</v>
      </c>
      <c r="E12" s="6" t="n">
        <v>0.174691462909969</v>
      </c>
      <c r="F12" s="7" t="n">
        <v>0.0235875642853287</v>
      </c>
      <c r="G12" s="6" t="n">
        <f aca="false">EXP(D12)</f>
        <v>0.673368008366074</v>
      </c>
      <c r="H12" s="6" t="n">
        <f aca="false">EXP(D12-1.96*E12)</f>
        <v>0.478136726680693</v>
      </c>
      <c r="I12" s="6" t="n">
        <f aca="false">EXP(D12+1.96*E12)</f>
        <v>0.948315511838306</v>
      </c>
      <c r="J12" s="7" t="n">
        <v>0.034227391988848</v>
      </c>
      <c r="K12" s="7" t="n">
        <v>0.750448365856496</v>
      </c>
      <c r="L12" s="7" t="n">
        <v>0.124403922836541</v>
      </c>
      <c r="M12" s="5" t="s">
        <v>144</v>
      </c>
    </row>
    <row r="13" customFormat="false" ht="15" hidden="false" customHeight="true" outlineLevel="0" collapsed="false">
      <c r="A13" s="5" t="s">
        <v>131</v>
      </c>
      <c r="B13" s="5" t="s">
        <v>86</v>
      </c>
      <c r="C13" s="5" t="n">
        <v>34</v>
      </c>
      <c r="D13" s="6" t="n">
        <v>0.0134987543448693</v>
      </c>
      <c r="E13" s="6" t="n">
        <v>0.0697531751708432</v>
      </c>
      <c r="F13" s="7" t="n">
        <v>0.846550398464779</v>
      </c>
      <c r="G13" s="6" t="n">
        <f aca="false">EXP(D13)</f>
        <v>1.01359027386549</v>
      </c>
      <c r="H13" s="6" t="n">
        <f aca="false">EXP(D13-1.96*E13)</f>
        <v>0.884071383543365</v>
      </c>
      <c r="I13" s="6" t="n">
        <f aca="false">EXP(D13+1.96*E13)</f>
        <v>1.16208403800725</v>
      </c>
      <c r="J13" s="7" t="n">
        <v>5.00442322532375E-005</v>
      </c>
      <c r="K13" s="7" t="n">
        <v>0.745002976167567</v>
      </c>
      <c r="L13" s="7" t="n">
        <v>0.359675445606004</v>
      </c>
      <c r="M13" s="5" t="s">
        <v>144</v>
      </c>
    </row>
    <row r="14" customFormat="false" ht="15" hidden="false" customHeight="true" outlineLevel="0" collapsed="false">
      <c r="A14" s="5" t="s">
        <v>133</v>
      </c>
      <c r="B14" s="5" t="s">
        <v>75</v>
      </c>
      <c r="C14" s="5" t="n">
        <v>80</v>
      </c>
      <c r="D14" s="6" t="n">
        <v>-0.00172920722115639</v>
      </c>
      <c r="E14" s="6" t="n">
        <v>0.0611829156231492</v>
      </c>
      <c r="F14" s="7" t="n">
        <v>0.977452462523582</v>
      </c>
      <c r="G14" s="6" t="n">
        <f aca="false">EXP(D14)</f>
        <v>0.998272286996256</v>
      </c>
      <c r="H14" s="6" t="n">
        <f aca="false">EXP(D14-1.96*E14)</f>
        <v>0.885460241868834</v>
      </c>
      <c r="I14" s="6" t="n">
        <f aca="false">EXP(D14+1.96*E14)</f>
        <v>1.1254571485688</v>
      </c>
      <c r="J14" s="7" t="n">
        <v>0.0514751100933706</v>
      </c>
      <c r="K14" s="7" t="n">
        <v>0.0493598632941892</v>
      </c>
      <c r="L14" s="7" t="n">
        <v>0.470213813226313</v>
      </c>
      <c r="M14" s="5" t="s">
        <v>146</v>
      </c>
    </row>
    <row r="15" customFormat="false" ht="15" hidden="false" customHeight="true" outlineLevel="0" collapsed="false">
      <c r="A15" s="5" t="s">
        <v>133</v>
      </c>
      <c r="B15" s="5" t="s">
        <v>79</v>
      </c>
      <c r="C15" s="5" t="n">
        <v>85</v>
      </c>
      <c r="D15" s="6" t="n">
        <v>0.00129444497373663</v>
      </c>
      <c r="E15" s="6" t="n">
        <v>0.00130231061553102</v>
      </c>
      <c r="F15" s="7" t="n">
        <v>0.320242224131817</v>
      </c>
      <c r="G15" s="6" t="s">
        <v>81</v>
      </c>
      <c r="H15" s="6" t="s">
        <v>81</v>
      </c>
      <c r="I15" s="6" t="s">
        <v>81</v>
      </c>
      <c r="J15" s="7" t="n">
        <v>0.520342506680708</v>
      </c>
      <c r="K15" s="7" t="n">
        <v>0.535497788160338</v>
      </c>
      <c r="L15" s="7" t="n">
        <v>0.219477803483896</v>
      </c>
      <c r="M15" s="5" t="s">
        <v>147</v>
      </c>
    </row>
    <row r="16" customFormat="false" ht="15" hidden="false" customHeight="true" outlineLevel="0" collapsed="false">
      <c r="A16" s="5" t="s">
        <v>133</v>
      </c>
      <c r="B16" s="5" t="s">
        <v>83</v>
      </c>
      <c r="C16" s="5" t="n">
        <v>85</v>
      </c>
      <c r="D16" s="6" t="n">
        <v>0.0642604535452551</v>
      </c>
      <c r="E16" s="6" t="n">
        <v>0.0678021361371387</v>
      </c>
      <c r="F16" s="7" t="n">
        <v>0.343249387596645</v>
      </c>
      <c r="G16" s="6" t="n">
        <f aca="false">EXP(D16)</f>
        <v>1.06637010246922</v>
      </c>
      <c r="H16" s="6" t="n">
        <f aca="false">EXP(D16-1.96*E16)</f>
        <v>0.933670456526889</v>
      </c>
      <c r="I16" s="6" t="n">
        <f aca="false">EXP(D16+1.96*E16)</f>
        <v>1.21792993179866</v>
      </c>
      <c r="J16" s="7" t="n">
        <v>0.00117935194532654</v>
      </c>
      <c r="K16" s="7" t="n">
        <v>0.292364015384187</v>
      </c>
      <c r="L16" s="7" t="n">
        <v>0.716482005645743</v>
      </c>
      <c r="M16" s="5" t="s">
        <v>146</v>
      </c>
    </row>
    <row r="17" customFormat="false" ht="15" hidden="false" customHeight="true" outlineLevel="0" collapsed="false">
      <c r="A17" s="5" t="s">
        <v>133</v>
      </c>
      <c r="B17" s="5" t="s">
        <v>86</v>
      </c>
      <c r="C17" s="5" t="n">
        <v>85</v>
      </c>
      <c r="D17" s="6" t="n">
        <v>0.0521495648414711</v>
      </c>
      <c r="E17" s="6" t="n">
        <v>0.0349943047979347</v>
      </c>
      <c r="F17" s="7" t="n">
        <v>0.13616375577691</v>
      </c>
      <c r="G17" s="6" t="n">
        <f aca="false">EXP(D17)</f>
        <v>1.05353330227171</v>
      </c>
      <c r="H17" s="6" t="n">
        <f aca="false">EXP(D17-1.96*E17)</f>
        <v>0.983695114860489</v>
      </c>
      <c r="I17" s="6" t="n">
        <f aca="false">EXP(D17+1.96*E17)</f>
        <v>1.12832970523895</v>
      </c>
      <c r="J17" s="7" t="n">
        <v>0.0291554981135687</v>
      </c>
      <c r="K17" s="7" t="n">
        <v>0.823594735326776</v>
      </c>
      <c r="L17" s="7" t="n">
        <v>0.49440047173393</v>
      </c>
      <c r="M17" s="5" t="s">
        <v>146</v>
      </c>
    </row>
    <row r="19" customFormat="false" ht="15" hidden="false" customHeight="true" outlineLevel="0" collapsed="false">
      <c r="A19" s="8" t="s">
        <v>148</v>
      </c>
    </row>
    <row r="20" customFormat="false" ht="15" hidden="false" customHeight="false" outlineLevel="0" collapsed="false">
      <c r="A20" s="1" t="s">
        <v>149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 min="2" style="1" width="34"/>
    <col collapsed="false" customWidth="true" hidden="false" outlineLevel="0" max="3" min="3" style="1" width="26"/>
    <col collapsed="false" customWidth="true" hidden="false" outlineLevel="0" max="4" min="4" style="1" width="10"/>
    <col collapsed="false" customWidth="true" hidden="false" outlineLevel="0" max="5" min="5" style="1" width="8"/>
    <col collapsed="false" customWidth="true" hidden="false" outlineLevel="0" max="6" min="6" style="1" width="11"/>
  </cols>
  <sheetData>
    <row r="1" customFormat="false" ht="31.5" hidden="false" customHeight="true" outlineLevel="0" collapsed="false">
      <c r="A1" s="4" t="s">
        <v>46</v>
      </c>
      <c r="B1" s="4" t="s">
        <v>47</v>
      </c>
      <c r="C1" s="4" t="s">
        <v>94</v>
      </c>
      <c r="D1" s="4" t="s">
        <v>150</v>
      </c>
      <c r="E1" s="4" t="s">
        <v>151</v>
      </c>
      <c r="F1" s="4" t="s">
        <v>152</v>
      </c>
    </row>
    <row r="2" customFormat="false" ht="15" hidden="false" customHeight="true" outlineLevel="0" collapsed="false">
      <c r="A2" s="5" t="s">
        <v>74</v>
      </c>
      <c r="B2" s="5" t="s">
        <v>75</v>
      </c>
      <c r="C2" s="5" t="s">
        <v>100</v>
      </c>
      <c r="D2" s="6" t="n">
        <v>143.324502455134</v>
      </c>
      <c r="E2" s="5" t="n">
        <v>105</v>
      </c>
      <c r="F2" s="7" t="n">
        <v>0.00770693381037364</v>
      </c>
    </row>
    <row r="3" customFormat="false" ht="15" hidden="false" customHeight="true" outlineLevel="0" collapsed="false">
      <c r="A3" s="5" t="s">
        <v>74</v>
      </c>
      <c r="B3" s="5" t="s">
        <v>75</v>
      </c>
      <c r="C3" s="5" t="s">
        <v>108</v>
      </c>
      <c r="D3" s="6" t="n">
        <v>137.606050305127</v>
      </c>
      <c r="E3" s="5" t="n">
        <v>104</v>
      </c>
      <c r="F3" s="7" t="n">
        <v>0.0152688671178324</v>
      </c>
    </row>
    <row r="4" customFormat="false" ht="15" hidden="false" customHeight="true" outlineLevel="0" collapsed="false">
      <c r="A4" s="5" t="s">
        <v>74</v>
      </c>
      <c r="B4" s="5" t="s">
        <v>79</v>
      </c>
      <c r="C4" s="5" t="s">
        <v>100</v>
      </c>
      <c r="D4" s="6" t="n">
        <v>143.267957005754</v>
      </c>
      <c r="E4" s="5" t="n">
        <v>114</v>
      </c>
      <c r="F4" s="7" t="n">
        <v>0.0331153262549739</v>
      </c>
    </row>
    <row r="5" customFormat="false" ht="15" hidden="false" customHeight="true" outlineLevel="0" collapsed="false">
      <c r="A5" s="5" t="s">
        <v>74</v>
      </c>
      <c r="B5" s="5" t="s">
        <v>79</v>
      </c>
      <c r="C5" s="5" t="s">
        <v>108</v>
      </c>
      <c r="D5" s="6" t="n">
        <v>140.596070608056</v>
      </c>
      <c r="E5" s="5" t="n">
        <v>113</v>
      </c>
      <c r="F5" s="7" t="n">
        <v>0.0402326605683205</v>
      </c>
    </row>
    <row r="6" customFormat="false" ht="15" hidden="false" customHeight="true" outlineLevel="0" collapsed="false">
      <c r="A6" s="5" t="s">
        <v>74</v>
      </c>
      <c r="B6" s="5" t="s">
        <v>83</v>
      </c>
      <c r="C6" s="5" t="s">
        <v>100</v>
      </c>
      <c r="D6" s="6" t="n">
        <v>199.655307538492</v>
      </c>
      <c r="E6" s="5" t="n">
        <v>113</v>
      </c>
      <c r="F6" s="7" t="n">
        <v>9.30067997127758E-007</v>
      </c>
    </row>
    <row r="7" customFormat="false" ht="15" hidden="false" customHeight="true" outlineLevel="0" collapsed="false">
      <c r="A7" s="5" t="s">
        <v>74</v>
      </c>
      <c r="B7" s="5" t="s">
        <v>83</v>
      </c>
      <c r="C7" s="5" t="s">
        <v>108</v>
      </c>
      <c r="D7" s="6" t="n">
        <v>198.331773135828</v>
      </c>
      <c r="E7" s="5" t="n">
        <v>112</v>
      </c>
      <c r="F7" s="7" t="n">
        <v>9.3167305903984E-007</v>
      </c>
    </row>
    <row r="8" customFormat="false" ht="15" hidden="false" customHeight="true" outlineLevel="0" collapsed="false">
      <c r="A8" s="5" t="s">
        <v>74</v>
      </c>
      <c r="B8" s="5" t="s">
        <v>86</v>
      </c>
      <c r="C8" s="5" t="s">
        <v>100</v>
      </c>
      <c r="D8" s="6" t="n">
        <v>246.861647487068</v>
      </c>
      <c r="E8" s="5" t="n">
        <v>114</v>
      </c>
      <c r="F8" s="7" t="n">
        <v>8.31837051726218E-012</v>
      </c>
    </row>
    <row r="9" customFormat="false" ht="15" hidden="false" customHeight="true" outlineLevel="0" collapsed="false">
      <c r="A9" s="5" t="s">
        <v>74</v>
      </c>
      <c r="B9" s="5" t="s">
        <v>86</v>
      </c>
      <c r="C9" s="5" t="s">
        <v>108</v>
      </c>
      <c r="D9" s="6" t="n">
        <v>246.738973075598</v>
      </c>
      <c r="E9" s="5" t="n">
        <v>113</v>
      </c>
      <c r="F9" s="7" t="n">
        <v>5.76927860130063E-012</v>
      </c>
    </row>
    <row r="10" customFormat="false" ht="15" hidden="false" customHeight="true" outlineLevel="0" collapsed="false">
      <c r="A10" s="5" t="s">
        <v>88</v>
      </c>
      <c r="B10" s="5" t="s">
        <v>75</v>
      </c>
      <c r="C10" s="5" t="s">
        <v>100</v>
      </c>
      <c r="D10" s="6" t="n">
        <v>593.400582102137</v>
      </c>
      <c r="E10" s="5" t="n">
        <v>463</v>
      </c>
      <c r="F10" s="7" t="n">
        <v>3.75095865695128E-005</v>
      </c>
    </row>
    <row r="11" customFormat="false" ht="15" hidden="false" customHeight="true" outlineLevel="0" collapsed="false">
      <c r="A11" s="5" t="s">
        <v>88</v>
      </c>
      <c r="B11" s="5" t="s">
        <v>75</v>
      </c>
      <c r="C11" s="5" t="s">
        <v>108</v>
      </c>
      <c r="D11" s="6" t="n">
        <v>590.137824283501</v>
      </c>
      <c r="E11" s="5" t="n">
        <v>462</v>
      </c>
      <c r="F11" s="7" t="n">
        <v>4.80641626281847E-005</v>
      </c>
    </row>
    <row r="12" customFormat="false" ht="15" hidden="false" customHeight="true" outlineLevel="0" collapsed="false">
      <c r="A12" s="5" t="s">
        <v>88</v>
      </c>
      <c r="B12" s="5" t="s">
        <v>79</v>
      </c>
      <c r="C12" s="5" t="s">
        <v>100</v>
      </c>
      <c r="D12" s="6" t="n">
        <v>502.635216184934</v>
      </c>
      <c r="E12" s="5" t="n">
        <v>483</v>
      </c>
      <c r="F12" s="7" t="n">
        <v>0.259538310731412</v>
      </c>
    </row>
    <row r="13" customFormat="false" ht="15" hidden="false" customHeight="true" outlineLevel="0" collapsed="false">
      <c r="A13" s="5" t="s">
        <v>88</v>
      </c>
      <c r="B13" s="5" t="s">
        <v>79</v>
      </c>
      <c r="C13" s="5" t="s">
        <v>108</v>
      </c>
      <c r="D13" s="6" t="n">
        <v>502.632014605251</v>
      </c>
      <c r="E13" s="5" t="n">
        <v>482</v>
      </c>
      <c r="F13" s="7" t="n">
        <v>0.249311055320272</v>
      </c>
    </row>
    <row r="14" customFormat="false" ht="15" hidden="false" customHeight="true" outlineLevel="0" collapsed="false">
      <c r="A14" s="5" t="s">
        <v>88</v>
      </c>
      <c r="B14" s="5" t="s">
        <v>83</v>
      </c>
      <c r="C14" s="5" t="s">
        <v>100</v>
      </c>
      <c r="D14" s="6" t="n">
        <v>605.920027999386</v>
      </c>
      <c r="E14" s="5" t="n">
        <v>479</v>
      </c>
      <c r="F14" s="7" t="n">
        <v>7.03582288900522E-005</v>
      </c>
    </row>
    <row r="15" customFormat="false" ht="15" hidden="false" customHeight="true" outlineLevel="0" collapsed="false">
      <c r="A15" s="5" t="s">
        <v>88</v>
      </c>
      <c r="B15" s="5" t="s">
        <v>83</v>
      </c>
      <c r="C15" s="5" t="s">
        <v>108</v>
      </c>
      <c r="D15" s="6" t="n">
        <v>605.919500641305</v>
      </c>
      <c r="E15" s="5" t="n">
        <v>478</v>
      </c>
      <c r="F15" s="7" t="n">
        <v>6.20296366088365E-005</v>
      </c>
    </row>
    <row r="16" customFormat="false" ht="15" hidden="false" customHeight="true" outlineLevel="0" collapsed="false">
      <c r="A16" s="5" t="s">
        <v>88</v>
      </c>
      <c r="B16" s="5" t="s">
        <v>86</v>
      </c>
      <c r="C16" s="5" t="s">
        <v>100</v>
      </c>
      <c r="D16" s="6" t="n">
        <v>719.804931406856</v>
      </c>
      <c r="E16" s="5" t="n">
        <v>480</v>
      </c>
      <c r="F16" s="7" t="n">
        <v>7.28414626680993E-012</v>
      </c>
    </row>
    <row r="17" customFormat="false" ht="15" hidden="false" customHeight="true" outlineLevel="0" collapsed="false">
      <c r="A17" s="5" t="s">
        <v>88</v>
      </c>
      <c r="B17" s="5" t="s">
        <v>86</v>
      </c>
      <c r="C17" s="5" t="s">
        <v>108</v>
      </c>
      <c r="D17" s="6" t="n">
        <v>719.07236610018</v>
      </c>
      <c r="E17" s="5" t="n">
        <v>479</v>
      </c>
      <c r="F17" s="7" t="n">
        <v>6.70537798175398E-012</v>
      </c>
    </row>
    <row r="18" customFormat="false" ht="15" hidden="false" customHeight="true" outlineLevel="0" collapsed="false">
      <c r="A18" s="5" t="s">
        <v>127</v>
      </c>
      <c r="B18" s="5" t="s">
        <v>75</v>
      </c>
      <c r="C18" s="5" t="s">
        <v>100</v>
      </c>
      <c r="D18" s="6" t="n">
        <v>496.547572631432</v>
      </c>
      <c r="E18" s="5" t="n">
        <v>390</v>
      </c>
      <c r="F18" s="7" t="n">
        <v>0.000201882630006793</v>
      </c>
    </row>
    <row r="19" customFormat="false" ht="15" hidden="false" customHeight="true" outlineLevel="0" collapsed="false">
      <c r="A19" s="5" t="s">
        <v>127</v>
      </c>
      <c r="B19" s="5" t="s">
        <v>75</v>
      </c>
      <c r="C19" s="5" t="s">
        <v>108</v>
      </c>
      <c r="D19" s="6" t="n">
        <v>496.348386325334</v>
      </c>
      <c r="E19" s="5" t="n">
        <v>389</v>
      </c>
      <c r="F19" s="7" t="n">
        <v>0.000181280240600853</v>
      </c>
    </row>
    <row r="20" customFormat="false" ht="15" hidden="false" customHeight="true" outlineLevel="0" collapsed="false">
      <c r="A20" s="5" t="s">
        <v>127</v>
      </c>
      <c r="B20" s="5" t="s">
        <v>79</v>
      </c>
      <c r="C20" s="5" t="s">
        <v>100</v>
      </c>
      <c r="D20" s="6" t="n">
        <v>430.857165526716</v>
      </c>
      <c r="E20" s="5" t="n">
        <v>442</v>
      </c>
      <c r="F20" s="7" t="n">
        <v>0.63889182505374</v>
      </c>
    </row>
    <row r="21" customFormat="false" ht="15" hidden="false" customHeight="true" outlineLevel="0" collapsed="false">
      <c r="A21" s="5" t="s">
        <v>127</v>
      </c>
      <c r="B21" s="5" t="s">
        <v>79</v>
      </c>
      <c r="C21" s="5" t="s">
        <v>108</v>
      </c>
      <c r="D21" s="6" t="n">
        <v>430.671777593272</v>
      </c>
      <c r="E21" s="5" t="n">
        <v>441</v>
      </c>
      <c r="F21" s="7" t="n">
        <v>0.628554592378308</v>
      </c>
    </row>
    <row r="22" customFormat="false" ht="15" hidden="false" customHeight="true" outlineLevel="0" collapsed="false">
      <c r="A22" s="5" t="s">
        <v>127</v>
      </c>
      <c r="B22" s="5" t="s">
        <v>83</v>
      </c>
      <c r="C22" s="5" t="s">
        <v>100</v>
      </c>
      <c r="D22" s="6" t="n">
        <v>483.415417198217</v>
      </c>
      <c r="E22" s="5" t="n">
        <v>433</v>
      </c>
      <c r="F22" s="7" t="n">
        <v>0.0471321699989928</v>
      </c>
    </row>
    <row r="23" customFormat="false" ht="15" hidden="false" customHeight="true" outlineLevel="0" collapsed="false">
      <c r="A23" s="5" t="s">
        <v>127</v>
      </c>
      <c r="B23" s="5" t="s">
        <v>83</v>
      </c>
      <c r="C23" s="5" t="s">
        <v>108</v>
      </c>
      <c r="D23" s="6" t="n">
        <v>483.325908292336</v>
      </c>
      <c r="E23" s="5" t="n">
        <v>432</v>
      </c>
      <c r="F23" s="7" t="n">
        <v>0.04420122428377</v>
      </c>
    </row>
    <row r="24" customFormat="false" ht="15" hidden="false" customHeight="true" outlineLevel="0" collapsed="false">
      <c r="A24" s="5" t="s">
        <v>127</v>
      </c>
      <c r="B24" s="5" t="s">
        <v>86</v>
      </c>
      <c r="C24" s="5" t="s">
        <v>100</v>
      </c>
      <c r="D24" s="6" t="n">
        <v>680.041417534928</v>
      </c>
      <c r="E24" s="5" t="n">
        <v>437</v>
      </c>
      <c r="F24" s="7" t="n">
        <v>7.31610983804461E-013</v>
      </c>
    </row>
    <row r="25" customFormat="false" ht="15" hidden="false" customHeight="true" outlineLevel="0" collapsed="false">
      <c r="A25" s="5" t="s">
        <v>127</v>
      </c>
      <c r="B25" s="5" t="s">
        <v>86</v>
      </c>
      <c r="C25" s="5" t="s">
        <v>108</v>
      </c>
      <c r="D25" s="6" t="n">
        <v>677.390468073504</v>
      </c>
      <c r="E25" s="5" t="n">
        <v>436</v>
      </c>
      <c r="F25" s="7" t="n">
        <v>9.46748395397481E-013</v>
      </c>
    </row>
    <row r="26" customFormat="false" ht="15" hidden="false" customHeight="true" outlineLevel="0" collapsed="false">
      <c r="A26" s="5" t="s">
        <v>129</v>
      </c>
      <c r="B26" s="5" t="s">
        <v>75</v>
      </c>
      <c r="C26" s="5" t="s">
        <v>100</v>
      </c>
      <c r="D26" s="6" t="n">
        <v>449.454721224377</v>
      </c>
      <c r="E26" s="5" t="n">
        <v>391</v>
      </c>
      <c r="F26" s="7" t="n">
        <v>0.0217975726184149</v>
      </c>
    </row>
    <row r="27" customFormat="false" ht="15" hidden="false" customHeight="true" outlineLevel="0" collapsed="false">
      <c r="A27" s="5" t="s">
        <v>129</v>
      </c>
      <c r="B27" s="5" t="s">
        <v>75</v>
      </c>
      <c r="C27" s="5" t="s">
        <v>108</v>
      </c>
      <c r="D27" s="6" t="n">
        <v>449.186203614008</v>
      </c>
      <c r="E27" s="5" t="n">
        <v>390</v>
      </c>
      <c r="F27" s="7" t="n">
        <v>0.0204678918696584</v>
      </c>
    </row>
    <row r="28" customFormat="false" ht="15" hidden="false" customHeight="true" outlineLevel="0" collapsed="false">
      <c r="A28" s="5" t="s">
        <v>129</v>
      </c>
      <c r="B28" s="5" t="s">
        <v>79</v>
      </c>
      <c r="C28" s="5" t="s">
        <v>100</v>
      </c>
      <c r="D28" s="6" t="n">
        <v>458.390157950304</v>
      </c>
      <c r="E28" s="5" t="n">
        <v>445</v>
      </c>
      <c r="F28" s="7" t="n">
        <v>0.320354307648021</v>
      </c>
    </row>
    <row r="29" customFormat="false" ht="15" hidden="false" customHeight="true" outlineLevel="0" collapsed="false">
      <c r="A29" s="5" t="s">
        <v>129</v>
      </c>
      <c r="B29" s="5" t="s">
        <v>79</v>
      </c>
      <c r="C29" s="5" t="s">
        <v>108</v>
      </c>
      <c r="D29" s="6" t="n">
        <v>457.414441578726</v>
      </c>
      <c r="E29" s="5" t="n">
        <v>444</v>
      </c>
      <c r="F29" s="7" t="n">
        <v>0.319884268861024</v>
      </c>
    </row>
    <row r="30" customFormat="false" ht="15" hidden="false" customHeight="true" outlineLevel="0" collapsed="false">
      <c r="A30" s="5" t="s">
        <v>129</v>
      </c>
      <c r="B30" s="5" t="s">
        <v>83</v>
      </c>
      <c r="C30" s="5" t="s">
        <v>100</v>
      </c>
      <c r="D30" s="6" t="n">
        <v>517.306237768612</v>
      </c>
      <c r="E30" s="5" t="n">
        <v>434</v>
      </c>
      <c r="F30" s="7" t="n">
        <v>0.00360631755809656</v>
      </c>
    </row>
    <row r="31" customFormat="false" ht="15" hidden="false" customHeight="true" outlineLevel="0" collapsed="false">
      <c r="A31" s="5" t="s">
        <v>129</v>
      </c>
      <c r="B31" s="5" t="s">
        <v>83</v>
      </c>
      <c r="C31" s="5" t="s">
        <v>108</v>
      </c>
      <c r="D31" s="6" t="n">
        <v>517.079482739187</v>
      </c>
      <c r="E31" s="5" t="n">
        <v>433</v>
      </c>
      <c r="F31" s="7" t="n">
        <v>0.0033338890599817</v>
      </c>
    </row>
    <row r="32" customFormat="false" ht="15" hidden="false" customHeight="true" outlineLevel="0" collapsed="false">
      <c r="A32" s="5" t="s">
        <v>129</v>
      </c>
      <c r="B32" s="5" t="s">
        <v>86</v>
      </c>
      <c r="C32" s="5" t="s">
        <v>100</v>
      </c>
      <c r="D32" s="6" t="n">
        <v>654.263232031016</v>
      </c>
      <c r="E32" s="5" t="n">
        <v>437</v>
      </c>
      <c r="F32" s="7" t="n">
        <v>6.94612430853465E-011</v>
      </c>
    </row>
    <row r="33" customFormat="false" ht="15" hidden="false" customHeight="true" outlineLevel="0" collapsed="false">
      <c r="A33" s="5" t="s">
        <v>129</v>
      </c>
      <c r="B33" s="5" t="s">
        <v>86</v>
      </c>
      <c r="C33" s="5" t="s">
        <v>108</v>
      </c>
      <c r="D33" s="6" t="n">
        <v>652.227255056803</v>
      </c>
      <c r="E33" s="5" t="n">
        <v>436</v>
      </c>
      <c r="F33" s="7" t="n">
        <v>7.98720433834701E-011</v>
      </c>
    </row>
    <row r="34" customFormat="false" ht="15" hidden="false" customHeight="true" outlineLevel="0" collapsed="false">
      <c r="A34" s="5" t="s">
        <v>131</v>
      </c>
      <c r="B34" s="5" t="s">
        <v>75</v>
      </c>
      <c r="C34" s="5" t="s">
        <v>100</v>
      </c>
      <c r="D34" s="6" t="n">
        <v>27.898918891233</v>
      </c>
      <c r="E34" s="5" t="n">
        <v>28</v>
      </c>
      <c r="F34" s="7" t="n">
        <v>0.469813843939611</v>
      </c>
    </row>
    <row r="35" customFormat="false" ht="15" hidden="false" customHeight="true" outlineLevel="0" collapsed="false">
      <c r="A35" s="5" t="s">
        <v>131</v>
      </c>
      <c r="B35" s="5" t="s">
        <v>75</v>
      </c>
      <c r="C35" s="5" t="s">
        <v>108</v>
      </c>
      <c r="D35" s="6" t="n">
        <v>27.8772870857924</v>
      </c>
      <c r="E35" s="5" t="n">
        <v>27</v>
      </c>
      <c r="F35" s="7" t="n">
        <v>0.417321192554941</v>
      </c>
    </row>
    <row r="36" customFormat="false" ht="15" hidden="false" customHeight="true" outlineLevel="0" collapsed="false">
      <c r="A36" s="5" t="s">
        <v>131</v>
      </c>
      <c r="B36" s="5" t="s">
        <v>79</v>
      </c>
      <c r="C36" s="5" t="s">
        <v>100</v>
      </c>
      <c r="D36" s="6" t="n">
        <v>32.2335861278376</v>
      </c>
      <c r="E36" s="5" t="n">
        <v>33</v>
      </c>
      <c r="F36" s="7" t="n">
        <v>0.505083701235969</v>
      </c>
    </row>
    <row r="37" customFormat="false" ht="15" hidden="false" customHeight="true" outlineLevel="0" collapsed="false">
      <c r="A37" s="5" t="s">
        <v>131</v>
      </c>
      <c r="B37" s="5" t="s">
        <v>79</v>
      </c>
      <c r="C37" s="5" t="s">
        <v>108</v>
      </c>
      <c r="D37" s="6" t="n">
        <v>30.8022743577693</v>
      </c>
      <c r="E37" s="5" t="n">
        <v>32</v>
      </c>
      <c r="F37" s="7" t="n">
        <v>0.527071125864396</v>
      </c>
    </row>
    <row r="38" customFormat="false" ht="15" hidden="false" customHeight="true" outlineLevel="0" collapsed="false">
      <c r="A38" s="5" t="s">
        <v>131</v>
      </c>
      <c r="B38" s="5" t="s">
        <v>83</v>
      </c>
      <c r="C38" s="5" t="s">
        <v>100</v>
      </c>
      <c r="D38" s="6" t="n">
        <v>49.2513330605772</v>
      </c>
      <c r="E38" s="5" t="n">
        <v>33</v>
      </c>
      <c r="F38" s="7" t="n">
        <v>0.034227391988848</v>
      </c>
    </row>
    <row r="39" customFormat="false" ht="15" hidden="false" customHeight="true" outlineLevel="0" collapsed="false">
      <c r="A39" s="5" t="s">
        <v>131</v>
      </c>
      <c r="B39" s="5" t="s">
        <v>83</v>
      </c>
      <c r="C39" s="5" t="s">
        <v>108</v>
      </c>
      <c r="D39" s="6" t="n">
        <v>49.0934484517265</v>
      </c>
      <c r="E39" s="5" t="n">
        <v>32</v>
      </c>
      <c r="F39" s="7" t="n">
        <v>0.0272042504839863</v>
      </c>
    </row>
    <row r="40" customFormat="false" ht="15" hidden="false" customHeight="true" outlineLevel="0" collapsed="false">
      <c r="A40" s="5" t="s">
        <v>131</v>
      </c>
      <c r="B40" s="5" t="s">
        <v>86</v>
      </c>
      <c r="C40" s="5" t="s">
        <v>100</v>
      </c>
      <c r="D40" s="6" t="n">
        <v>74.3606809763406</v>
      </c>
      <c r="E40" s="5" t="n">
        <v>33</v>
      </c>
      <c r="F40" s="7" t="n">
        <v>5.00442322532375E-005</v>
      </c>
    </row>
    <row r="41" customFormat="false" ht="15" hidden="false" customHeight="true" outlineLevel="0" collapsed="false">
      <c r="A41" s="5" t="s">
        <v>131</v>
      </c>
      <c r="B41" s="5" t="s">
        <v>86</v>
      </c>
      <c r="C41" s="5" t="s">
        <v>108</v>
      </c>
      <c r="D41" s="6" t="n">
        <v>74.1114266367918</v>
      </c>
      <c r="E41" s="5" t="n">
        <v>32</v>
      </c>
      <c r="F41" s="7" t="n">
        <v>3.44310055773861E-005</v>
      </c>
    </row>
    <row r="42" customFormat="false" ht="15" hidden="false" customHeight="true" outlineLevel="0" collapsed="false">
      <c r="A42" s="5" t="s">
        <v>133</v>
      </c>
      <c r="B42" s="5" t="s">
        <v>75</v>
      </c>
      <c r="C42" s="5" t="s">
        <v>100</v>
      </c>
      <c r="D42" s="6" t="n">
        <v>100.539972535852</v>
      </c>
      <c r="E42" s="5" t="n">
        <v>79</v>
      </c>
      <c r="F42" s="7" t="n">
        <v>0.0514751100933706</v>
      </c>
    </row>
    <row r="43" customFormat="false" ht="15" hidden="false" customHeight="true" outlineLevel="0" collapsed="false">
      <c r="A43" s="5" t="s">
        <v>133</v>
      </c>
      <c r="B43" s="5" t="s">
        <v>75</v>
      </c>
      <c r="C43" s="5" t="s">
        <v>108</v>
      </c>
      <c r="D43" s="6" t="n">
        <v>95.6515272499965</v>
      </c>
      <c r="E43" s="5" t="n">
        <v>78</v>
      </c>
      <c r="F43" s="7" t="n">
        <v>0.085141297438199</v>
      </c>
    </row>
    <row r="44" customFormat="false" ht="15" hidden="false" customHeight="true" outlineLevel="0" collapsed="false">
      <c r="A44" s="5" t="s">
        <v>133</v>
      </c>
      <c r="B44" s="5" t="s">
        <v>79</v>
      </c>
      <c r="C44" s="5" t="s">
        <v>100</v>
      </c>
      <c r="D44" s="6" t="n">
        <v>82.6778732226743</v>
      </c>
      <c r="E44" s="5" t="n">
        <v>84</v>
      </c>
      <c r="F44" s="7" t="n">
        <v>0.520342506680708</v>
      </c>
    </row>
    <row r="45" customFormat="false" ht="15" hidden="false" customHeight="true" outlineLevel="0" collapsed="false">
      <c r="A45" s="5" t="s">
        <v>133</v>
      </c>
      <c r="B45" s="5" t="s">
        <v>79</v>
      </c>
      <c r="C45" s="5" t="s">
        <v>108</v>
      </c>
      <c r="D45" s="6" t="n">
        <v>82.2907059057922</v>
      </c>
      <c r="E45" s="5" t="n">
        <v>83</v>
      </c>
      <c r="F45" s="7" t="n">
        <v>0.501356247773668</v>
      </c>
    </row>
    <row r="46" customFormat="false" ht="15" hidden="false" customHeight="true" outlineLevel="0" collapsed="false">
      <c r="A46" s="5" t="s">
        <v>133</v>
      </c>
      <c r="B46" s="5" t="s">
        <v>83</v>
      </c>
      <c r="C46" s="5" t="s">
        <v>100</v>
      </c>
      <c r="D46" s="6" t="n">
        <v>128.954738913281</v>
      </c>
      <c r="E46" s="5" t="n">
        <v>84</v>
      </c>
      <c r="F46" s="7" t="n">
        <v>0.00117935194532654</v>
      </c>
    </row>
    <row r="47" customFormat="false" ht="15" hidden="false" customHeight="true" outlineLevel="0" collapsed="false">
      <c r="A47" s="5" t="s">
        <v>133</v>
      </c>
      <c r="B47" s="5" t="s">
        <v>83</v>
      </c>
      <c r="C47" s="5" t="s">
        <v>108</v>
      </c>
      <c r="D47" s="6" t="n">
        <v>127.233374271426</v>
      </c>
      <c r="E47" s="5" t="n">
        <v>83</v>
      </c>
      <c r="F47" s="7" t="n">
        <v>0.00129583203066233</v>
      </c>
    </row>
    <row r="48" customFormat="false" ht="15" hidden="false" customHeight="true" outlineLevel="0" collapsed="false">
      <c r="A48" s="5" t="s">
        <v>133</v>
      </c>
      <c r="B48" s="5" t="s">
        <v>86</v>
      </c>
      <c r="C48" s="5" t="s">
        <v>100</v>
      </c>
      <c r="D48" s="6" t="n">
        <v>110.205804389893</v>
      </c>
      <c r="E48" s="5" t="n">
        <v>84</v>
      </c>
      <c r="F48" s="7" t="n">
        <v>0.0291554981135687</v>
      </c>
    </row>
    <row r="49" customFormat="false" ht="15" hidden="false" customHeight="true" outlineLevel="0" collapsed="false">
      <c r="A49" s="5" t="s">
        <v>133</v>
      </c>
      <c r="B49" s="5" t="s">
        <v>86</v>
      </c>
      <c r="C49" s="5" t="s">
        <v>108</v>
      </c>
      <c r="D49" s="6" t="n">
        <v>110.139441562246</v>
      </c>
      <c r="E49" s="5" t="n">
        <v>83</v>
      </c>
      <c r="F49" s="7" t="n">
        <v>0.0248154296016451</v>
      </c>
    </row>
    <row r="51" customFormat="false" ht="15" hidden="false" customHeight="true" outlineLevel="0" collapsed="false">
      <c r="A51" s="8" t="s">
        <v>153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 min="2" style="1" width="34"/>
    <col collapsed="false" customWidth="true" hidden="false" outlineLevel="0" max="3" min="3" style="1" width="14"/>
    <col collapsed="false" customWidth="true" hidden="false" outlineLevel="0" max="4" min="4" style="1" width="12"/>
    <col collapsed="false" customWidth="true" hidden="false" outlineLevel="0" max="5" min="5" style="1" width="11"/>
  </cols>
  <sheetData>
    <row r="1" customFormat="false" ht="31.5" hidden="false" customHeight="true" outlineLevel="0" collapsed="false">
      <c r="A1" s="4" t="s">
        <v>46</v>
      </c>
      <c r="B1" s="4" t="s">
        <v>47</v>
      </c>
      <c r="C1" s="4" t="s">
        <v>11</v>
      </c>
      <c r="D1" s="4" t="s">
        <v>96</v>
      </c>
      <c r="E1" s="4" t="s">
        <v>97</v>
      </c>
    </row>
    <row r="2" customFormat="false" ht="15" hidden="false" customHeight="true" outlineLevel="0" collapsed="false">
      <c r="A2" s="5" t="s">
        <v>74</v>
      </c>
      <c r="B2" s="5" t="s">
        <v>75</v>
      </c>
      <c r="C2" s="9" t="n">
        <v>-0.00792288611101539</v>
      </c>
      <c r="D2" s="9" t="n">
        <v>0.00381106417973709</v>
      </c>
      <c r="E2" s="7" t="n">
        <v>0.0400853832359264</v>
      </c>
    </row>
    <row r="3" customFormat="false" ht="15" hidden="false" customHeight="true" outlineLevel="0" collapsed="false">
      <c r="A3" s="5" t="s">
        <v>74</v>
      </c>
      <c r="B3" s="5" t="s">
        <v>79</v>
      </c>
      <c r="C3" s="9" t="n">
        <v>-0.000109136164405496</v>
      </c>
      <c r="D3" s="9" t="n">
        <v>7.44744083544313E-005</v>
      </c>
      <c r="E3" s="7" t="n">
        <v>0.145583801297365</v>
      </c>
    </row>
    <row r="4" customFormat="false" ht="15" hidden="false" customHeight="true" outlineLevel="0" collapsed="false">
      <c r="A4" s="5" t="s">
        <v>74</v>
      </c>
      <c r="B4" s="5" t="s">
        <v>83</v>
      </c>
      <c r="C4" s="9" t="n">
        <v>0.00342926912707199</v>
      </c>
      <c r="D4" s="9" t="n">
        <v>0.00396662448542672</v>
      </c>
      <c r="E4" s="7" t="n">
        <v>0.38914420984342</v>
      </c>
    </row>
    <row r="5" customFormat="false" ht="15" hidden="false" customHeight="true" outlineLevel="0" collapsed="false">
      <c r="A5" s="5" t="s">
        <v>74</v>
      </c>
      <c r="B5" s="5" t="s">
        <v>86</v>
      </c>
      <c r="C5" s="9" t="n">
        <v>-0.000582930432522163</v>
      </c>
      <c r="D5" s="9" t="n">
        <v>0.0024593446346003</v>
      </c>
      <c r="E5" s="7" t="n">
        <v>0.813065220938117</v>
      </c>
    </row>
    <row r="6" customFormat="false" ht="15" hidden="false" customHeight="true" outlineLevel="0" collapsed="false">
      <c r="A6" s="5" t="s">
        <v>88</v>
      </c>
      <c r="B6" s="5" t="s">
        <v>75</v>
      </c>
      <c r="C6" s="9" t="n">
        <v>-0.00265822550153373</v>
      </c>
      <c r="D6" s="9" t="n">
        <v>0.00166324083246587</v>
      </c>
      <c r="E6" s="7" t="n">
        <v>0.11067758839124</v>
      </c>
    </row>
    <row r="7" customFormat="false" ht="15" hidden="false" customHeight="true" outlineLevel="0" collapsed="false">
      <c r="A7" s="5" t="s">
        <v>88</v>
      </c>
      <c r="B7" s="5" t="s">
        <v>79</v>
      </c>
      <c r="C7" s="9" t="n">
        <v>-2.04468340650874E-006</v>
      </c>
      <c r="D7" s="9" t="n">
        <v>3.69016231442463E-005</v>
      </c>
      <c r="E7" s="7" t="n">
        <v>0.955835555962415</v>
      </c>
    </row>
    <row r="8" customFormat="false" ht="15" hidden="false" customHeight="true" outlineLevel="0" collapsed="false">
      <c r="A8" s="5" t="s">
        <v>88</v>
      </c>
      <c r="B8" s="5" t="s">
        <v>83</v>
      </c>
      <c r="C8" s="9" t="n">
        <v>-3.51489989769487E-005</v>
      </c>
      <c r="D8" s="9" t="n">
        <v>0.00172327137890509</v>
      </c>
      <c r="E8" s="7" t="n">
        <v>0.983735450775448</v>
      </c>
    </row>
    <row r="9" customFormat="false" ht="15" hidden="false" customHeight="true" outlineLevel="0" collapsed="false">
      <c r="A9" s="5" t="s">
        <v>88</v>
      </c>
      <c r="B9" s="5" t="s">
        <v>86</v>
      </c>
      <c r="C9" s="9" t="n">
        <v>-0.000715630152689204</v>
      </c>
      <c r="D9" s="9" t="n">
        <v>0.00102443403882172</v>
      </c>
      <c r="E9" s="7" t="n">
        <v>0.48516513636539</v>
      </c>
    </row>
    <row r="10" customFormat="false" ht="15" hidden="false" customHeight="true" outlineLevel="0" collapsed="false">
      <c r="A10" s="5" t="s">
        <v>127</v>
      </c>
      <c r="B10" s="5" t="s">
        <v>75</v>
      </c>
      <c r="C10" s="9" t="n">
        <v>0.00069686231453031</v>
      </c>
      <c r="D10" s="9" t="n">
        <v>0.00176374480128148</v>
      </c>
      <c r="E10" s="7" t="n">
        <v>0.692982829440725</v>
      </c>
    </row>
    <row r="11" customFormat="false" ht="15" hidden="false" customHeight="true" outlineLevel="0" collapsed="false">
      <c r="A11" s="5" t="s">
        <v>127</v>
      </c>
      <c r="B11" s="5" t="s">
        <v>79</v>
      </c>
      <c r="C11" s="9" t="n">
        <v>1.64944223724257E-005</v>
      </c>
      <c r="D11" s="9" t="n">
        <v>3.83086087189825E-005</v>
      </c>
      <c r="E11" s="7" t="n">
        <v>0.666993596961244</v>
      </c>
    </row>
    <row r="12" customFormat="false" ht="15" hidden="false" customHeight="true" outlineLevel="0" collapsed="false">
      <c r="A12" s="5" t="s">
        <v>127</v>
      </c>
      <c r="B12" s="5" t="s">
        <v>83</v>
      </c>
      <c r="C12" s="9" t="n">
        <v>-0.000489169098040695</v>
      </c>
      <c r="D12" s="9" t="n">
        <v>0.00172943424392839</v>
      </c>
      <c r="E12" s="7" t="n">
        <v>0.777427913330429</v>
      </c>
    </row>
    <row r="13" customFormat="false" ht="15" hidden="false" customHeight="true" outlineLevel="0" collapsed="false">
      <c r="A13" s="5" t="s">
        <v>127</v>
      </c>
      <c r="B13" s="5" t="s">
        <v>86</v>
      </c>
      <c r="C13" s="9" t="n">
        <v>0.00145554070274838</v>
      </c>
      <c r="D13" s="9" t="n">
        <v>0.00111429434466056</v>
      </c>
      <c r="E13" s="7" t="n">
        <v>0.192158149627576</v>
      </c>
    </row>
    <row r="14" customFormat="false" ht="15" hidden="false" customHeight="true" outlineLevel="0" collapsed="false">
      <c r="A14" s="5" t="s">
        <v>129</v>
      </c>
      <c r="B14" s="5" t="s">
        <v>75</v>
      </c>
      <c r="C14" s="9" t="n">
        <v>-0.000834754228772002</v>
      </c>
      <c r="D14" s="9" t="n">
        <v>0.00172883339063832</v>
      </c>
      <c r="E14" s="7" t="n">
        <v>0.629478492279174</v>
      </c>
    </row>
    <row r="15" customFormat="false" ht="15" hidden="false" customHeight="true" outlineLevel="0" collapsed="false">
      <c r="A15" s="5" t="s">
        <v>129</v>
      </c>
      <c r="B15" s="5" t="s">
        <v>79</v>
      </c>
      <c r="C15" s="9" t="n">
        <v>3.7295782917428E-005</v>
      </c>
      <c r="D15" s="9" t="n">
        <v>3.83231662600277E-005</v>
      </c>
      <c r="E15" s="7" t="n">
        <v>0.330987979457647</v>
      </c>
    </row>
    <row r="16" customFormat="false" ht="15" hidden="false" customHeight="true" outlineLevel="0" collapsed="false">
      <c r="A16" s="5" t="s">
        <v>129</v>
      </c>
      <c r="B16" s="5" t="s">
        <v>83</v>
      </c>
      <c r="C16" s="9" t="n">
        <v>-0.000766556169781623</v>
      </c>
      <c r="D16" s="9" t="n">
        <v>0.00175913927109972</v>
      </c>
      <c r="E16" s="7" t="n">
        <v>0.663230641558658</v>
      </c>
    </row>
    <row r="17" customFormat="false" ht="15" hidden="false" customHeight="true" outlineLevel="0" collapsed="false">
      <c r="A17" s="5" t="s">
        <v>129</v>
      </c>
      <c r="B17" s="5" t="s">
        <v>86</v>
      </c>
      <c r="C17" s="9" t="n">
        <v>0.00127284680578253</v>
      </c>
      <c r="D17" s="9" t="n">
        <v>0.00109105321374267</v>
      </c>
      <c r="E17" s="7" t="n">
        <v>0.244000706532055</v>
      </c>
    </row>
    <row r="18" customFormat="false" ht="15" hidden="false" customHeight="true" outlineLevel="0" collapsed="false">
      <c r="A18" s="5" t="s">
        <v>131</v>
      </c>
      <c r="B18" s="5" t="s">
        <v>75</v>
      </c>
      <c r="C18" s="9" t="n">
        <v>0.000435021396562341</v>
      </c>
      <c r="D18" s="9" t="n">
        <v>0.00300543684210097</v>
      </c>
      <c r="E18" s="7" t="n">
        <v>0.88598743069663</v>
      </c>
    </row>
    <row r="19" customFormat="false" ht="15" hidden="false" customHeight="true" outlineLevel="0" collapsed="false">
      <c r="A19" s="5" t="s">
        <v>131</v>
      </c>
      <c r="B19" s="5" t="s">
        <v>79</v>
      </c>
      <c r="C19" s="9" t="n">
        <v>-0.000112502901232982</v>
      </c>
      <c r="D19" s="9" t="n">
        <v>9.40365312687955E-005</v>
      </c>
      <c r="E19" s="7" t="n">
        <v>0.240339776633477</v>
      </c>
    </row>
    <row r="20" customFormat="false" ht="15" hidden="false" customHeight="true" outlineLevel="0" collapsed="false">
      <c r="A20" s="5" t="s">
        <v>131</v>
      </c>
      <c r="B20" s="5" t="s">
        <v>83</v>
      </c>
      <c r="C20" s="9" t="n">
        <v>0.00220162760908686</v>
      </c>
      <c r="D20" s="9" t="n">
        <v>0.0068629485869764</v>
      </c>
      <c r="E20" s="7" t="n">
        <v>0.750448365856496</v>
      </c>
    </row>
    <row r="21" customFormat="false" ht="15" hidden="false" customHeight="true" outlineLevel="0" collapsed="false">
      <c r="A21" s="5" t="s">
        <v>131</v>
      </c>
      <c r="B21" s="5" t="s">
        <v>86</v>
      </c>
      <c r="C21" s="9" t="n">
        <v>-0.000863994340294275</v>
      </c>
      <c r="D21" s="9" t="n">
        <v>0.00263364437460176</v>
      </c>
      <c r="E21" s="7" t="n">
        <v>0.745002976167567</v>
      </c>
    </row>
    <row r="22" customFormat="false" ht="15" hidden="false" customHeight="true" outlineLevel="0" collapsed="false">
      <c r="A22" s="5" t="s">
        <v>133</v>
      </c>
      <c r="B22" s="5" t="s">
        <v>75</v>
      </c>
      <c r="C22" s="9" t="n">
        <v>-0.0159242194992683</v>
      </c>
      <c r="D22" s="9" t="n">
        <v>0.00797574809709569</v>
      </c>
      <c r="E22" s="7" t="n">
        <v>0.0493598632941892</v>
      </c>
    </row>
    <row r="23" customFormat="false" ht="15" hidden="false" customHeight="true" outlineLevel="0" collapsed="false">
      <c r="A23" s="5" t="s">
        <v>133</v>
      </c>
      <c r="B23" s="5" t="s">
        <v>79</v>
      </c>
      <c r="C23" s="9" t="n">
        <v>0.000105256344389309</v>
      </c>
      <c r="D23" s="9" t="n">
        <v>0.000169160491475728</v>
      </c>
      <c r="E23" s="7" t="n">
        <v>0.535497788160338</v>
      </c>
    </row>
    <row r="24" customFormat="false" ht="15" hidden="false" customHeight="true" outlineLevel="0" collapsed="false">
      <c r="A24" s="5" t="s">
        <v>133</v>
      </c>
      <c r="B24" s="5" t="s">
        <v>83</v>
      </c>
      <c r="C24" s="9" t="n">
        <v>0.00929867098733993</v>
      </c>
      <c r="D24" s="9" t="n">
        <v>0.00877497562474769</v>
      </c>
      <c r="E24" s="7" t="n">
        <v>0.292364015384187</v>
      </c>
    </row>
    <row r="25" customFormat="false" ht="15" hidden="false" customHeight="true" outlineLevel="0" collapsed="false">
      <c r="A25" s="5" t="s">
        <v>133</v>
      </c>
      <c r="B25" s="5" t="s">
        <v>86</v>
      </c>
      <c r="C25" s="9" t="n">
        <v>-0.00102268951114215</v>
      </c>
      <c r="D25" s="9" t="n">
        <v>0.0045731321289675</v>
      </c>
      <c r="E25" s="7" t="n">
        <v>0.823594735326776</v>
      </c>
    </row>
    <row r="27" customFormat="false" ht="15" hidden="false" customHeight="true" outlineLevel="0" collapsed="false">
      <c r="A27" s="8" t="s">
        <v>154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 min="2" style="1" width="34"/>
    <col collapsed="false" customWidth="true" hidden="false" outlineLevel="0" max="4" min="3" style="1" width="10"/>
    <col collapsed="false" customWidth="true" hidden="false" outlineLevel="0" max="5" min="5" style="1" width="11"/>
    <col collapsed="false" customWidth="true" hidden="false" outlineLevel="0" max="6" min="6" style="1" width="14"/>
    <col collapsed="false" customWidth="true" hidden="false" outlineLevel="0" max="7" min="7" style="1" width="8"/>
    <col collapsed="false" customWidth="true" hidden="false" outlineLevel="0" max="11" min="8" style="1" width="11"/>
  </cols>
  <sheetData>
    <row r="1" customFormat="false" ht="31.5" hidden="false" customHeight="true" outlineLevel="0" collapsed="false">
      <c r="A1" s="4" t="s">
        <v>46</v>
      </c>
      <c r="B1" s="4" t="s">
        <v>47</v>
      </c>
      <c r="C1" s="4" t="s">
        <v>155</v>
      </c>
      <c r="D1" s="4" t="s">
        <v>156</v>
      </c>
      <c r="E1" s="4" t="s">
        <v>157</v>
      </c>
      <c r="F1" s="4" t="s">
        <v>158</v>
      </c>
      <c r="G1" s="4" t="s">
        <v>63</v>
      </c>
      <c r="H1" s="4" t="s">
        <v>159</v>
      </c>
      <c r="I1" s="4" t="s">
        <v>160</v>
      </c>
      <c r="J1" s="4" t="s">
        <v>65</v>
      </c>
      <c r="K1" s="4" t="s">
        <v>66</v>
      </c>
    </row>
    <row r="2" customFormat="false" ht="15" hidden="false" customHeight="true" outlineLevel="0" collapsed="false">
      <c r="A2" s="5" t="s">
        <v>74</v>
      </c>
      <c r="B2" s="5" t="s">
        <v>75</v>
      </c>
      <c r="C2" s="6" t="n">
        <v>0.133494228135727</v>
      </c>
      <c r="D2" s="6" t="n">
        <v>0.0212232262556976</v>
      </c>
      <c r="E2" s="7" t="n">
        <v>7.42604550899277E-009</v>
      </c>
      <c r="F2" s="5" t="n">
        <v>0.008</v>
      </c>
      <c r="G2" s="5" t="n">
        <v>1</v>
      </c>
      <c r="H2" s="6" t="n">
        <v>0.136109000449493</v>
      </c>
      <c r="I2" s="6" t="n">
        <v>0.0205244026721572</v>
      </c>
      <c r="J2" s="7" t="n">
        <v>1.5211689911509E-009</v>
      </c>
      <c r="K2" s="6" t="n">
        <v>0.89125</v>
      </c>
    </row>
    <row r="3" customFormat="false" ht="15" hidden="false" customHeight="true" outlineLevel="0" collapsed="false">
      <c r="A3" s="5" t="s">
        <v>74</v>
      </c>
      <c r="B3" s="5" t="s">
        <v>79</v>
      </c>
      <c r="C3" s="6" t="n">
        <v>0.000981166932401211</v>
      </c>
      <c r="D3" s="6" t="n">
        <v>0.000453066045394669</v>
      </c>
      <c r="E3" s="7" t="n">
        <v>0.032423901648371</v>
      </c>
      <c r="F3" s="5" t="n">
        <v>0.0312</v>
      </c>
      <c r="G3" s="5" t="n">
        <v>0</v>
      </c>
      <c r="H3" s="6"/>
      <c r="I3" s="6"/>
      <c r="J3" s="7"/>
      <c r="K3" s="6"/>
    </row>
    <row r="4" customFormat="false" ht="15" hidden="false" customHeight="true" outlineLevel="0" collapsed="false">
      <c r="A4" s="5" t="s">
        <v>74</v>
      </c>
      <c r="B4" s="5" t="s">
        <v>83</v>
      </c>
      <c r="C4" s="6" t="n">
        <v>0.085784575297348</v>
      </c>
      <c r="D4" s="6" t="n">
        <v>0.0231662292997347</v>
      </c>
      <c r="E4" s="7" t="n">
        <v>0.00033115941765079</v>
      </c>
      <c r="F4" s="5" t="s">
        <v>85</v>
      </c>
      <c r="G4" s="5" t="n">
        <v>0</v>
      </c>
      <c r="H4" s="6"/>
      <c r="I4" s="6"/>
      <c r="J4" s="7"/>
      <c r="K4" s="6"/>
    </row>
    <row r="5" customFormat="false" ht="15" hidden="false" customHeight="true" outlineLevel="0" collapsed="false">
      <c r="A5" s="5" t="s">
        <v>74</v>
      </c>
      <c r="B5" s="5" t="s">
        <v>86</v>
      </c>
      <c r="C5" s="6" t="n">
        <v>0.105322069371282</v>
      </c>
      <c r="D5" s="6" t="n">
        <v>0.0142115464566719</v>
      </c>
      <c r="E5" s="7" t="n">
        <v>2.36770319437961E-011</v>
      </c>
      <c r="F5" s="5" t="s">
        <v>85</v>
      </c>
      <c r="G5" s="5" t="n">
        <v>2</v>
      </c>
      <c r="H5" s="6" t="n">
        <v>0.0981587576673628</v>
      </c>
      <c r="I5" s="6" t="n">
        <v>0.0132141218913058</v>
      </c>
      <c r="J5" s="7" t="n">
        <v>2.33095175597041E-011</v>
      </c>
      <c r="K5" s="6" t="n">
        <v>0.5095</v>
      </c>
    </row>
    <row r="6" customFormat="false" ht="15" hidden="false" customHeight="true" outlineLevel="0" collapsed="false">
      <c r="A6" s="5" t="s">
        <v>88</v>
      </c>
      <c r="B6" s="5" t="s">
        <v>75</v>
      </c>
      <c r="C6" s="6" t="n">
        <v>0.187434525933196</v>
      </c>
      <c r="D6" s="6" t="n">
        <v>0.0395378980603419</v>
      </c>
      <c r="E6" s="7" t="n">
        <v>2.84021388050107E-006</v>
      </c>
      <c r="F6" s="5" t="s">
        <v>89</v>
      </c>
      <c r="G6" s="5" t="n">
        <v>0</v>
      </c>
      <c r="H6" s="6"/>
      <c r="I6" s="6"/>
      <c r="J6" s="7"/>
      <c r="K6" s="6"/>
    </row>
    <row r="7" customFormat="false" ht="15" hidden="false" customHeight="true" outlineLevel="0" collapsed="false">
      <c r="A7" s="5" t="s">
        <v>88</v>
      </c>
      <c r="B7" s="5" t="s">
        <v>79</v>
      </c>
      <c r="C7" s="6" t="n">
        <v>0.00128819604522055</v>
      </c>
      <c r="D7" s="6" t="n">
        <v>0.000878439083753758</v>
      </c>
      <c r="E7" s="7" t="n">
        <v>0.143173676605089</v>
      </c>
      <c r="F7" s="5" t="n">
        <v>0.2638</v>
      </c>
      <c r="G7" s="5" t="n">
        <v>0</v>
      </c>
      <c r="H7" s="6"/>
      <c r="I7" s="6"/>
      <c r="J7" s="7"/>
      <c r="K7" s="6"/>
    </row>
    <row r="8" customFormat="false" ht="15" hidden="false" customHeight="true" outlineLevel="0" collapsed="false">
      <c r="A8" s="5" t="s">
        <v>88</v>
      </c>
      <c r="B8" s="5" t="s">
        <v>83</v>
      </c>
      <c r="C8" s="6" t="n">
        <v>0.121646954775747</v>
      </c>
      <c r="D8" s="6" t="n">
        <v>0.0410701638889498</v>
      </c>
      <c r="E8" s="7" t="n">
        <v>0.00320909834172206</v>
      </c>
      <c r="F8" s="5" t="s">
        <v>89</v>
      </c>
      <c r="G8" s="5" t="n">
        <v>1</v>
      </c>
      <c r="H8" s="6" t="n">
        <v>0.126852612449819</v>
      </c>
      <c r="I8" s="6" t="n">
        <v>0.0405416194522314</v>
      </c>
      <c r="J8" s="7" t="n">
        <v>0.00186154280020075</v>
      </c>
      <c r="K8" s="6" t="n">
        <v>0.898</v>
      </c>
    </row>
    <row r="9" customFormat="false" ht="15" hidden="false" customHeight="true" outlineLevel="0" collapsed="false">
      <c r="A9" s="5" t="s">
        <v>88</v>
      </c>
      <c r="B9" s="5" t="s">
        <v>86</v>
      </c>
      <c r="C9" s="6" t="n">
        <v>0.181289525779766</v>
      </c>
      <c r="D9" s="6" t="n">
        <v>0.0244872772825024</v>
      </c>
      <c r="E9" s="7" t="n">
        <v>5.99925611146088E-013</v>
      </c>
      <c r="F9" s="5" t="s">
        <v>89</v>
      </c>
      <c r="G9" s="5" t="n">
        <v>2</v>
      </c>
      <c r="H9" s="6" t="n">
        <v>0.17996271105534</v>
      </c>
      <c r="I9" s="6" t="n">
        <v>0.0240116152575375</v>
      </c>
      <c r="J9" s="7" t="n">
        <v>3.24422941861778E-013</v>
      </c>
      <c r="K9" s="6" t="n">
        <v>0.952909090909091</v>
      </c>
    </row>
    <row r="11" customFormat="false" ht="15" hidden="false" customHeight="true" outlineLevel="0" collapsed="false">
      <c r="A11" s="8" t="s">
        <v>161</v>
      </c>
    </row>
    <row r="13" customFormat="false" ht="15" hidden="false" customHeight="true" outlineLevel="0" collapsed="false">
      <c r="A13" s="2" t="s">
        <v>162</v>
      </c>
    </row>
    <row r="14" customFormat="false" ht="31.5" hidden="false" customHeight="true" outlineLevel="0" collapsed="false">
      <c r="A14" s="4" t="s">
        <v>163</v>
      </c>
      <c r="B14" s="4" t="s">
        <v>164</v>
      </c>
      <c r="C14" s="4" t="s">
        <v>165</v>
      </c>
      <c r="D14" s="4" t="s">
        <v>166</v>
      </c>
      <c r="E14" s="4" t="s">
        <v>167</v>
      </c>
    </row>
    <row r="15" customFormat="false" ht="15" hidden="false" customHeight="true" outlineLevel="0" collapsed="false">
      <c r="A15" s="5" t="s">
        <v>168</v>
      </c>
      <c r="B15" s="5" t="s">
        <v>169</v>
      </c>
      <c r="C15" s="5" t="s">
        <v>170</v>
      </c>
      <c r="D15" s="5" t="s">
        <v>171</v>
      </c>
      <c r="E15" s="5"/>
    </row>
    <row r="16" customFormat="false" ht="15" hidden="false" customHeight="true" outlineLevel="0" collapsed="false">
      <c r="A16" s="5" t="s">
        <v>172</v>
      </c>
      <c r="B16" s="5" t="s">
        <v>173</v>
      </c>
      <c r="C16" s="5" t="s">
        <v>174</v>
      </c>
      <c r="D16" s="5" t="s">
        <v>175</v>
      </c>
      <c r="E16" s="5" t="s">
        <v>176</v>
      </c>
    </row>
    <row r="17" customFormat="false" ht="15" hidden="false" customHeight="true" outlineLevel="0" collapsed="false">
      <c r="A17" s="5" t="s">
        <v>172</v>
      </c>
      <c r="B17" s="5" t="s">
        <v>177</v>
      </c>
      <c r="C17" s="5" t="s">
        <v>178</v>
      </c>
      <c r="D17" s="5" t="s">
        <v>179</v>
      </c>
      <c r="E17" s="5" t="s">
        <v>180</v>
      </c>
    </row>
    <row r="18" customFormat="false" ht="15" hidden="false" customHeight="true" outlineLevel="0" collapsed="false">
      <c r="A18" s="5" t="s">
        <v>181</v>
      </c>
      <c r="B18" s="5" t="s">
        <v>182</v>
      </c>
      <c r="C18" s="5" t="s">
        <v>183</v>
      </c>
      <c r="D18" s="5" t="s">
        <v>184</v>
      </c>
      <c r="E18" s="5"/>
    </row>
    <row r="19" customFormat="false" ht="15" hidden="false" customHeight="true" outlineLevel="0" collapsed="false">
      <c r="A19" s="5" t="s">
        <v>185</v>
      </c>
      <c r="B19" s="5" t="s">
        <v>186</v>
      </c>
      <c r="C19" s="5" t="s">
        <v>187</v>
      </c>
      <c r="D19" s="5" t="s">
        <v>188</v>
      </c>
      <c r="E19" s="5" t="s">
        <v>189</v>
      </c>
    </row>
    <row r="20" customFormat="false" ht="15" hidden="false" customHeight="true" outlineLevel="0" collapsed="false">
      <c r="A20" s="5" t="s">
        <v>185</v>
      </c>
      <c r="B20" s="5" t="s">
        <v>190</v>
      </c>
      <c r="C20" s="5" t="s">
        <v>191</v>
      </c>
      <c r="D20" s="5" t="s">
        <v>192</v>
      </c>
      <c r="E20" s="5" t="s">
        <v>193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38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 min="2" style="1" width="34"/>
    <col collapsed="false" customWidth="true" hidden="false" outlineLevel="0" max="3" min="3" style="1" width="14"/>
    <col collapsed="false" customWidth="true" hidden="false" outlineLevel="0" max="5" min="4" style="1" width="12"/>
    <col collapsed="false" customWidth="true" hidden="false" outlineLevel="0" max="6" min="6" style="1" width="14"/>
  </cols>
  <sheetData>
    <row r="1" customFormat="false" ht="31.5" hidden="false" customHeight="true" outlineLevel="0" collapsed="false">
      <c r="A1" s="4" t="s">
        <v>46</v>
      </c>
      <c r="B1" s="4" t="s">
        <v>47</v>
      </c>
      <c r="C1" s="4" t="s">
        <v>194</v>
      </c>
      <c r="D1" s="4" t="s">
        <v>195</v>
      </c>
      <c r="E1" s="4" t="s">
        <v>196</v>
      </c>
      <c r="F1" s="4" t="s">
        <v>197</v>
      </c>
    </row>
    <row r="2" customFormat="false" ht="15" hidden="false" customHeight="true" outlineLevel="0" collapsed="false">
      <c r="A2" s="5" t="s">
        <v>74</v>
      </c>
      <c r="B2" s="5" t="s">
        <v>75</v>
      </c>
      <c r="C2" s="6" t="n">
        <v>0.127835425418444</v>
      </c>
      <c r="D2" s="6" t="n">
        <v>0.138079740493861</v>
      </c>
      <c r="E2" s="7" t="n">
        <v>3.94937496555301E-009</v>
      </c>
      <c r="F2" s="5" t="s">
        <v>198</v>
      </c>
    </row>
    <row r="3" customFormat="false" ht="15" hidden="false" customHeight="true" outlineLevel="0" collapsed="false">
      <c r="A3" s="5" t="s">
        <v>74</v>
      </c>
      <c r="B3" s="5" t="s">
        <v>79</v>
      </c>
      <c r="C3" s="6" t="n">
        <v>0.000728857092270997</v>
      </c>
      <c r="D3" s="6" t="n">
        <v>0.00108553868559929</v>
      </c>
      <c r="E3" s="7" t="n">
        <v>0.140952639500182</v>
      </c>
      <c r="F3" s="5" t="s">
        <v>186</v>
      </c>
    </row>
    <row r="4" customFormat="false" ht="15" hidden="false" customHeight="true" outlineLevel="0" collapsed="false">
      <c r="A4" s="5" t="s">
        <v>74</v>
      </c>
      <c r="B4" s="5" t="s">
        <v>83</v>
      </c>
      <c r="C4" s="6" t="n">
        <v>0.0794351516877043</v>
      </c>
      <c r="D4" s="6" t="n">
        <v>0.0916187926591093</v>
      </c>
      <c r="E4" s="7" t="n">
        <v>0.000510633782699814</v>
      </c>
      <c r="F4" s="5" t="s">
        <v>199</v>
      </c>
    </row>
    <row r="5" customFormat="false" ht="15" hidden="false" customHeight="true" outlineLevel="0" collapsed="false">
      <c r="A5" s="5" t="s">
        <v>74</v>
      </c>
      <c r="B5" s="5" t="s">
        <v>86</v>
      </c>
      <c r="C5" s="6" t="n">
        <v>0.101233917367216</v>
      </c>
      <c r="D5" s="6" t="n">
        <v>0.108468066528651</v>
      </c>
      <c r="E5" s="7" t="n">
        <v>3.46463563217848E-012</v>
      </c>
      <c r="F5" s="5" t="s">
        <v>186</v>
      </c>
    </row>
    <row r="6" customFormat="false" ht="15" hidden="false" customHeight="true" outlineLevel="0" collapsed="false">
      <c r="A6" s="5" t="s">
        <v>88</v>
      </c>
      <c r="B6" s="5" t="s">
        <v>75</v>
      </c>
      <c r="C6" s="6" t="n">
        <v>0.169280957795439</v>
      </c>
      <c r="D6" s="6" t="n">
        <v>0.19829233930521</v>
      </c>
      <c r="E6" s="7" t="n">
        <v>2.62141837049084E-005</v>
      </c>
      <c r="F6" s="5" t="s">
        <v>200</v>
      </c>
    </row>
    <row r="7" customFormat="false" ht="15" hidden="false" customHeight="true" outlineLevel="0" collapsed="false">
      <c r="A7" s="5" t="s">
        <v>88</v>
      </c>
      <c r="B7" s="5" t="s">
        <v>79</v>
      </c>
      <c r="C7" s="6" t="n">
        <v>0.00115259252343211</v>
      </c>
      <c r="D7" s="6" t="n">
        <v>0.00142328649337229</v>
      </c>
      <c r="E7" s="7" t="n">
        <v>0.187719184144952</v>
      </c>
      <c r="F7" s="5" t="s">
        <v>190</v>
      </c>
    </row>
    <row r="8" customFormat="false" ht="15" hidden="false" customHeight="true" outlineLevel="0" collapsed="false">
      <c r="A8" s="5" t="s">
        <v>88</v>
      </c>
      <c r="B8" s="5" t="s">
        <v>83</v>
      </c>
      <c r="C8" s="6" t="n">
        <v>0.114230540502886</v>
      </c>
      <c r="D8" s="6" t="n">
        <v>0.130825834621142</v>
      </c>
      <c r="E8" s="7" t="n">
        <v>0.00555506267521543</v>
      </c>
      <c r="F8" s="5" t="s">
        <v>201</v>
      </c>
    </row>
    <row r="9" customFormat="false" ht="15" hidden="false" customHeight="true" outlineLevel="0" collapsed="false">
      <c r="A9" s="5" t="s">
        <v>88</v>
      </c>
      <c r="B9" s="5" t="s">
        <v>86</v>
      </c>
      <c r="C9" s="6" t="n">
        <v>0.176619475689501</v>
      </c>
      <c r="D9" s="6" t="n">
        <v>0.186602148408541</v>
      </c>
      <c r="E9" s="7" t="n">
        <v>1.53803810825438E-012</v>
      </c>
      <c r="F9" s="5" t="s">
        <v>200</v>
      </c>
    </row>
    <row r="11" customFormat="false" ht="15" hidden="false" customHeight="true" outlineLevel="0" collapsed="false">
      <c r="A11" s="8" t="s">
        <v>202</v>
      </c>
    </row>
    <row r="13" customFormat="false" ht="15" hidden="false" customHeight="true" outlineLevel="0" collapsed="false">
      <c r="A13" s="2" t="s">
        <v>203</v>
      </c>
    </row>
    <row r="14" customFormat="false" ht="31.5" hidden="false" customHeight="true" outlineLevel="0" collapsed="false">
      <c r="A14" s="4" t="s">
        <v>46</v>
      </c>
      <c r="B14" s="4" t="s">
        <v>47</v>
      </c>
      <c r="C14" s="4" t="s">
        <v>204</v>
      </c>
      <c r="D14" s="4" t="s">
        <v>95</v>
      </c>
      <c r="E14" s="4" t="s">
        <v>96</v>
      </c>
      <c r="F14" s="4" t="s">
        <v>97</v>
      </c>
    </row>
    <row r="15" customFormat="false" ht="15" hidden="false" customHeight="true" outlineLevel="0" collapsed="false">
      <c r="A15" s="5" t="s">
        <v>74</v>
      </c>
      <c r="B15" s="5" t="s">
        <v>75</v>
      </c>
      <c r="C15" s="5" t="s">
        <v>205</v>
      </c>
      <c r="D15" s="6" t="n">
        <v>0.13274398842436</v>
      </c>
      <c r="E15" s="6" t="n">
        <v>0.0212662813235442</v>
      </c>
      <c r="F15" s="7" t="n">
        <v>4.32029087781103E-010</v>
      </c>
    </row>
    <row r="16" customFormat="false" ht="15" hidden="false" customHeight="true" outlineLevel="0" collapsed="false">
      <c r="A16" s="5" t="s">
        <v>74</v>
      </c>
      <c r="B16" s="5" t="s">
        <v>75</v>
      </c>
      <c r="C16" s="5" t="s">
        <v>169</v>
      </c>
      <c r="D16" s="6" t="n">
        <v>0.136109000449493</v>
      </c>
      <c r="E16" s="6" t="n">
        <v>0.0205244026721572</v>
      </c>
      <c r="F16" s="7" t="n">
        <v>3.32136342229096E-011</v>
      </c>
    </row>
    <row r="17" customFormat="false" ht="15" hidden="false" customHeight="true" outlineLevel="0" collapsed="false">
      <c r="A17" s="5" t="s">
        <v>74</v>
      </c>
      <c r="B17" s="5" t="s">
        <v>75</v>
      </c>
      <c r="C17" s="5" t="s">
        <v>206</v>
      </c>
      <c r="D17" s="6" t="n">
        <v>0.13452987460072</v>
      </c>
      <c r="E17" s="6" t="n">
        <v>0.021363632170631</v>
      </c>
      <c r="F17" s="7" t="n">
        <v>3.03179020964484E-010</v>
      </c>
    </row>
    <row r="18" customFormat="false" ht="15" hidden="false" customHeight="true" outlineLevel="0" collapsed="false">
      <c r="A18" s="5" t="s">
        <v>74</v>
      </c>
      <c r="B18" s="5" t="s">
        <v>75</v>
      </c>
      <c r="C18" s="5" t="s">
        <v>207</v>
      </c>
      <c r="D18" s="6" t="n">
        <v>0.135216475877858</v>
      </c>
      <c r="E18" s="6" t="n">
        <v>0.021128620109981</v>
      </c>
      <c r="F18" s="7" t="n">
        <v>1.5569962845045E-010</v>
      </c>
    </row>
    <row r="19" customFormat="false" ht="15" hidden="false" customHeight="true" outlineLevel="0" collapsed="false">
      <c r="A19" s="5" t="s">
        <v>74</v>
      </c>
      <c r="B19" s="5" t="s">
        <v>75</v>
      </c>
      <c r="C19" s="5" t="s">
        <v>208</v>
      </c>
      <c r="D19" s="6" t="n">
        <v>0.134792733955452</v>
      </c>
      <c r="E19" s="6" t="n">
        <v>0.0213897983924853</v>
      </c>
      <c r="F19" s="7" t="n">
        <v>2.94341612056479E-010</v>
      </c>
    </row>
    <row r="20" customFormat="false" ht="15" hidden="false" customHeight="true" outlineLevel="0" collapsed="false">
      <c r="A20" s="5" t="s">
        <v>74</v>
      </c>
      <c r="B20" s="5" t="s">
        <v>75</v>
      </c>
      <c r="C20" s="5" t="s">
        <v>209</v>
      </c>
      <c r="D20" s="6" t="n">
        <v>0.134163939101016</v>
      </c>
      <c r="E20" s="6" t="n">
        <v>0.0213923154742554</v>
      </c>
      <c r="F20" s="7" t="n">
        <v>3.57368110486465E-010</v>
      </c>
    </row>
    <row r="21" customFormat="false" ht="15" hidden="false" customHeight="true" outlineLevel="0" collapsed="false">
      <c r="A21" s="5" t="s">
        <v>74</v>
      </c>
      <c r="B21" s="5" t="s">
        <v>75</v>
      </c>
      <c r="C21" s="5" t="s">
        <v>210</v>
      </c>
      <c r="D21" s="6" t="n">
        <v>0.13316362819571</v>
      </c>
      <c r="E21" s="6" t="n">
        <v>0.0213318540552378</v>
      </c>
      <c r="F21" s="7" t="n">
        <v>4.30692557647682E-010</v>
      </c>
    </row>
    <row r="22" customFormat="false" ht="15" hidden="false" customHeight="true" outlineLevel="0" collapsed="false">
      <c r="A22" s="5" t="s">
        <v>74</v>
      </c>
      <c r="B22" s="5" t="s">
        <v>75</v>
      </c>
      <c r="C22" s="5" t="s">
        <v>211</v>
      </c>
      <c r="D22" s="6" t="n">
        <v>0.133849092537019</v>
      </c>
      <c r="E22" s="6" t="n">
        <v>0.0213805684693685</v>
      </c>
      <c r="F22" s="7" t="n">
        <v>3.8420072216828E-010</v>
      </c>
    </row>
    <row r="23" customFormat="false" ht="15" hidden="false" customHeight="true" outlineLevel="0" collapsed="false">
      <c r="A23" s="5" t="s">
        <v>74</v>
      </c>
      <c r="B23" s="5" t="s">
        <v>75</v>
      </c>
      <c r="C23" s="5" t="s">
        <v>198</v>
      </c>
      <c r="D23" s="6" t="n">
        <v>0.130569879180267</v>
      </c>
      <c r="E23" s="6" t="n">
        <v>0.0221819958769625</v>
      </c>
      <c r="F23" s="7" t="n">
        <v>3.94937496555301E-009</v>
      </c>
    </row>
    <row r="24" customFormat="false" ht="15" hidden="false" customHeight="true" outlineLevel="0" collapsed="false">
      <c r="A24" s="5" t="s">
        <v>74</v>
      </c>
      <c r="B24" s="5" t="s">
        <v>75</v>
      </c>
      <c r="C24" s="5" t="s">
        <v>212</v>
      </c>
      <c r="D24" s="6" t="n">
        <v>0.134809786890552</v>
      </c>
      <c r="E24" s="6" t="n">
        <v>0.0214127095847876</v>
      </c>
      <c r="F24" s="7" t="n">
        <v>3.05850715560751E-010</v>
      </c>
    </row>
    <row r="25" customFormat="false" ht="15" hidden="false" customHeight="true" outlineLevel="0" collapsed="false">
      <c r="A25" s="5" t="s">
        <v>74</v>
      </c>
      <c r="B25" s="5" t="s">
        <v>75</v>
      </c>
      <c r="C25" s="5" t="s">
        <v>213</v>
      </c>
      <c r="D25" s="6" t="n">
        <v>0.131145383553419</v>
      </c>
      <c r="E25" s="6" t="n">
        <v>0.0213198505573019</v>
      </c>
      <c r="F25" s="7" t="n">
        <v>7.68370557656062E-010</v>
      </c>
    </row>
    <row r="26" customFormat="false" ht="15" hidden="false" customHeight="true" outlineLevel="0" collapsed="false">
      <c r="A26" s="5" t="s">
        <v>74</v>
      </c>
      <c r="B26" s="5" t="s">
        <v>75</v>
      </c>
      <c r="C26" s="5" t="s">
        <v>214</v>
      </c>
      <c r="D26" s="6" t="n">
        <v>0.132921812605509</v>
      </c>
      <c r="E26" s="6" t="n">
        <v>0.0213053697729178</v>
      </c>
      <c r="F26" s="7" t="n">
        <v>4.40692793372803E-010</v>
      </c>
    </row>
    <row r="27" customFormat="false" ht="15" hidden="false" customHeight="true" outlineLevel="0" collapsed="false">
      <c r="A27" s="5" t="s">
        <v>74</v>
      </c>
      <c r="B27" s="5" t="s">
        <v>75</v>
      </c>
      <c r="C27" s="5" t="s">
        <v>215</v>
      </c>
      <c r="D27" s="6" t="n">
        <v>0.133658184006854</v>
      </c>
      <c r="E27" s="6" t="n">
        <v>0.0213855060624233</v>
      </c>
      <c r="F27" s="7" t="n">
        <v>4.10603726115711E-010</v>
      </c>
    </row>
    <row r="28" customFormat="false" ht="15" hidden="false" customHeight="true" outlineLevel="0" collapsed="false">
      <c r="A28" s="5" t="s">
        <v>74</v>
      </c>
      <c r="B28" s="5" t="s">
        <v>75</v>
      </c>
      <c r="C28" s="5" t="s">
        <v>216</v>
      </c>
      <c r="D28" s="6" t="n">
        <v>0.134100913552517</v>
      </c>
      <c r="E28" s="6" t="n">
        <v>0.021579551102173</v>
      </c>
      <c r="F28" s="7" t="n">
        <v>5.15675046191928E-010</v>
      </c>
    </row>
    <row r="29" customFormat="false" ht="15" hidden="false" customHeight="true" outlineLevel="0" collapsed="false">
      <c r="A29" s="5" t="s">
        <v>74</v>
      </c>
      <c r="B29" s="5" t="s">
        <v>75</v>
      </c>
      <c r="C29" s="5" t="s">
        <v>217</v>
      </c>
      <c r="D29" s="6" t="n">
        <v>0.128764166899598</v>
      </c>
      <c r="E29" s="6" t="n">
        <v>0.0211577979992027</v>
      </c>
      <c r="F29" s="7" t="n">
        <v>1.1584132550283E-009</v>
      </c>
    </row>
    <row r="30" customFormat="false" ht="15" hidden="false" customHeight="true" outlineLevel="0" collapsed="false">
      <c r="A30" s="5" t="s">
        <v>74</v>
      </c>
      <c r="B30" s="5" t="s">
        <v>75</v>
      </c>
      <c r="C30" s="5" t="s">
        <v>218</v>
      </c>
      <c r="D30" s="6" t="n">
        <v>0.132763613221766</v>
      </c>
      <c r="E30" s="6" t="n">
        <v>0.0213662361976865</v>
      </c>
      <c r="F30" s="7" t="n">
        <v>5.17477211747944E-010</v>
      </c>
    </row>
    <row r="31" customFormat="false" ht="15" hidden="false" customHeight="true" outlineLevel="0" collapsed="false">
      <c r="A31" s="5" t="s">
        <v>74</v>
      </c>
      <c r="B31" s="5" t="s">
        <v>75</v>
      </c>
      <c r="C31" s="5" t="s">
        <v>219</v>
      </c>
      <c r="D31" s="6" t="n">
        <v>0.133581001043698</v>
      </c>
      <c r="E31" s="6" t="n">
        <v>0.0212372562060687</v>
      </c>
      <c r="F31" s="7" t="n">
        <v>3.17595080325555E-010</v>
      </c>
    </row>
    <row r="32" customFormat="false" ht="15" hidden="false" customHeight="true" outlineLevel="0" collapsed="false">
      <c r="A32" s="5" t="s">
        <v>74</v>
      </c>
      <c r="B32" s="5" t="s">
        <v>75</v>
      </c>
      <c r="C32" s="5" t="s">
        <v>220</v>
      </c>
      <c r="D32" s="6" t="n">
        <v>0.134561244105002</v>
      </c>
      <c r="E32" s="6" t="n">
        <v>0.0212831710342331</v>
      </c>
      <c r="F32" s="7" t="n">
        <v>2.57490676786177E-010</v>
      </c>
    </row>
    <row r="33" customFormat="false" ht="15" hidden="false" customHeight="true" outlineLevel="0" collapsed="false">
      <c r="A33" s="5" t="s">
        <v>74</v>
      </c>
      <c r="B33" s="5" t="s">
        <v>75</v>
      </c>
      <c r="C33" s="5" t="s">
        <v>221</v>
      </c>
      <c r="D33" s="6" t="n">
        <v>0.133463323923726</v>
      </c>
      <c r="E33" s="6" t="n">
        <v>0.0213771956968646</v>
      </c>
      <c r="F33" s="7" t="n">
        <v>4.28552235909808E-010</v>
      </c>
    </row>
    <row r="34" customFormat="false" ht="15" hidden="false" customHeight="true" outlineLevel="0" collapsed="false">
      <c r="A34" s="5" t="s">
        <v>74</v>
      </c>
      <c r="B34" s="5" t="s">
        <v>75</v>
      </c>
      <c r="C34" s="5" t="s">
        <v>222</v>
      </c>
      <c r="D34" s="6" t="n">
        <v>0.132796524053833</v>
      </c>
      <c r="E34" s="6" t="n">
        <v>0.0213895209143686</v>
      </c>
      <c r="F34" s="7" t="n">
        <v>5.34977595531856E-010</v>
      </c>
    </row>
    <row r="35" customFormat="false" ht="15" hidden="false" customHeight="true" outlineLevel="0" collapsed="false">
      <c r="A35" s="5" t="s">
        <v>74</v>
      </c>
      <c r="B35" s="5" t="s">
        <v>75</v>
      </c>
      <c r="C35" s="5" t="s">
        <v>223</v>
      </c>
      <c r="D35" s="6" t="n">
        <v>0.134872937682585</v>
      </c>
      <c r="E35" s="6" t="n">
        <v>0.021339789531829</v>
      </c>
      <c r="F35" s="7" t="n">
        <v>2.61129959152242E-010</v>
      </c>
    </row>
    <row r="36" customFormat="false" ht="15" hidden="false" customHeight="true" outlineLevel="0" collapsed="false">
      <c r="A36" s="5" t="s">
        <v>74</v>
      </c>
      <c r="B36" s="5" t="s">
        <v>75</v>
      </c>
      <c r="C36" s="5" t="s">
        <v>224</v>
      </c>
      <c r="D36" s="6" t="n">
        <v>0.135562919403763</v>
      </c>
      <c r="E36" s="6" t="n">
        <v>0.0212624959058101</v>
      </c>
      <c r="F36" s="7" t="n">
        <v>1.8215014051801E-010</v>
      </c>
    </row>
    <row r="37" customFormat="false" ht="15" hidden="false" customHeight="true" outlineLevel="0" collapsed="false">
      <c r="A37" s="5" t="s">
        <v>74</v>
      </c>
      <c r="B37" s="5" t="s">
        <v>75</v>
      </c>
      <c r="C37" s="5" t="s">
        <v>225</v>
      </c>
      <c r="D37" s="6" t="n">
        <v>0.133539199290094</v>
      </c>
      <c r="E37" s="6" t="n">
        <v>0.0213139988491295</v>
      </c>
      <c r="F37" s="7" t="n">
        <v>3.72040838311931E-010</v>
      </c>
    </row>
    <row r="38" customFormat="false" ht="15" hidden="false" customHeight="true" outlineLevel="0" collapsed="false">
      <c r="A38" s="5" t="s">
        <v>74</v>
      </c>
      <c r="B38" s="5" t="s">
        <v>75</v>
      </c>
      <c r="C38" s="5" t="s">
        <v>226</v>
      </c>
      <c r="D38" s="6" t="n">
        <v>0.132906391459048</v>
      </c>
      <c r="E38" s="6" t="n">
        <v>0.0213364370751965</v>
      </c>
      <c r="F38" s="7" t="n">
        <v>4.6917964957825E-010</v>
      </c>
    </row>
    <row r="39" customFormat="false" ht="15" hidden="false" customHeight="true" outlineLevel="0" collapsed="false">
      <c r="A39" s="5" t="s">
        <v>74</v>
      </c>
      <c r="B39" s="5" t="s">
        <v>75</v>
      </c>
      <c r="C39" s="5" t="s">
        <v>227</v>
      </c>
      <c r="D39" s="6" t="n">
        <v>0.134122477952894</v>
      </c>
      <c r="E39" s="6" t="n">
        <v>0.0213660644171567</v>
      </c>
      <c r="F39" s="7" t="n">
        <v>3.44370121491313E-010</v>
      </c>
    </row>
    <row r="40" customFormat="false" ht="15" hidden="false" customHeight="true" outlineLevel="0" collapsed="false">
      <c r="A40" s="5" t="s">
        <v>74</v>
      </c>
      <c r="B40" s="5" t="s">
        <v>75</v>
      </c>
      <c r="C40" s="5" t="s">
        <v>228</v>
      </c>
      <c r="D40" s="6" t="n">
        <v>0.134378355353286</v>
      </c>
      <c r="E40" s="6" t="n">
        <v>0.0213278306895015</v>
      </c>
      <c r="F40" s="7" t="n">
        <v>2.96475438242919E-010</v>
      </c>
    </row>
    <row r="41" customFormat="false" ht="15" hidden="false" customHeight="true" outlineLevel="0" collapsed="false">
      <c r="A41" s="5" t="s">
        <v>74</v>
      </c>
      <c r="B41" s="5" t="s">
        <v>75</v>
      </c>
      <c r="C41" s="5" t="s">
        <v>177</v>
      </c>
      <c r="D41" s="6" t="n">
        <v>0.134163015851185</v>
      </c>
      <c r="E41" s="6" t="n">
        <v>0.0213264808539982</v>
      </c>
      <c r="F41" s="7" t="n">
        <v>3.15606075153528E-010</v>
      </c>
    </row>
    <row r="42" customFormat="false" ht="15" hidden="false" customHeight="true" outlineLevel="0" collapsed="false">
      <c r="A42" s="5" t="s">
        <v>74</v>
      </c>
      <c r="B42" s="5" t="s">
        <v>75</v>
      </c>
      <c r="C42" s="5" t="s">
        <v>229</v>
      </c>
      <c r="D42" s="6" t="n">
        <v>0.132325380635367</v>
      </c>
      <c r="E42" s="6" t="n">
        <v>0.0213151873886188</v>
      </c>
      <c r="F42" s="7" t="n">
        <v>5.36519836768691E-010</v>
      </c>
    </row>
    <row r="43" customFormat="false" ht="15" hidden="false" customHeight="true" outlineLevel="0" collapsed="false">
      <c r="A43" s="5" t="s">
        <v>74</v>
      </c>
      <c r="B43" s="5" t="s">
        <v>75</v>
      </c>
      <c r="C43" s="5" t="s">
        <v>230</v>
      </c>
      <c r="D43" s="6" t="n">
        <v>0.131486571764727</v>
      </c>
      <c r="E43" s="6" t="n">
        <v>0.0214430536434799</v>
      </c>
      <c r="F43" s="7" t="n">
        <v>8.68379459348204E-010</v>
      </c>
    </row>
    <row r="44" customFormat="false" ht="15" hidden="false" customHeight="true" outlineLevel="0" collapsed="false">
      <c r="A44" s="5" t="s">
        <v>74</v>
      </c>
      <c r="B44" s="5" t="s">
        <v>75</v>
      </c>
      <c r="C44" s="5" t="s">
        <v>231</v>
      </c>
      <c r="D44" s="6" t="n">
        <v>0.129770630053739</v>
      </c>
      <c r="E44" s="6" t="n">
        <v>0.0211207584263452</v>
      </c>
      <c r="F44" s="7" t="n">
        <v>8.03563557008465E-010</v>
      </c>
    </row>
    <row r="45" customFormat="false" ht="15" hidden="false" customHeight="true" outlineLevel="0" collapsed="false">
      <c r="A45" s="5" t="s">
        <v>74</v>
      </c>
      <c r="B45" s="5" t="s">
        <v>75</v>
      </c>
      <c r="C45" s="5" t="s">
        <v>199</v>
      </c>
      <c r="D45" s="6" t="n">
        <v>0.134579755527631</v>
      </c>
      <c r="E45" s="6" t="n">
        <v>0.0213273905622482</v>
      </c>
      <c r="F45" s="7" t="n">
        <v>2.7870418453486E-010</v>
      </c>
    </row>
    <row r="46" customFormat="false" ht="15" hidden="false" customHeight="true" outlineLevel="0" collapsed="false">
      <c r="A46" s="5" t="s">
        <v>74</v>
      </c>
      <c r="B46" s="5" t="s">
        <v>75</v>
      </c>
      <c r="C46" s="5" t="s">
        <v>232</v>
      </c>
      <c r="D46" s="6" t="n">
        <v>0.137313778852444</v>
      </c>
      <c r="E46" s="6" t="n">
        <v>0.0207319549741916</v>
      </c>
      <c r="F46" s="7" t="n">
        <v>3.51287564710298E-011</v>
      </c>
    </row>
    <row r="47" customFormat="false" ht="15" hidden="false" customHeight="true" outlineLevel="0" collapsed="false">
      <c r="A47" s="5" t="s">
        <v>74</v>
      </c>
      <c r="B47" s="5" t="s">
        <v>75</v>
      </c>
      <c r="C47" s="5" t="s">
        <v>233</v>
      </c>
      <c r="D47" s="6" t="n">
        <v>0.131347325324119</v>
      </c>
      <c r="E47" s="6" t="n">
        <v>0.0214476252123511</v>
      </c>
      <c r="F47" s="7" t="n">
        <v>9.11996452348943E-010</v>
      </c>
    </row>
    <row r="48" customFormat="false" ht="15" hidden="false" customHeight="true" outlineLevel="0" collapsed="false">
      <c r="A48" s="5" t="s">
        <v>74</v>
      </c>
      <c r="B48" s="5" t="s">
        <v>75</v>
      </c>
      <c r="C48" s="5" t="s">
        <v>234</v>
      </c>
      <c r="D48" s="6" t="n">
        <v>0.133948006453979</v>
      </c>
      <c r="E48" s="6" t="n">
        <v>0.0213321011090767</v>
      </c>
      <c r="F48" s="7" t="n">
        <v>3.40373228474905E-010</v>
      </c>
    </row>
    <row r="49" customFormat="false" ht="15" hidden="false" customHeight="true" outlineLevel="0" collapsed="false">
      <c r="A49" s="5" t="s">
        <v>74</v>
      </c>
      <c r="B49" s="5" t="s">
        <v>75</v>
      </c>
      <c r="C49" s="5" t="s">
        <v>235</v>
      </c>
      <c r="D49" s="6" t="n">
        <v>0.132423031420222</v>
      </c>
      <c r="E49" s="6" t="n">
        <v>0.0213033460123124</v>
      </c>
      <c r="F49" s="7" t="n">
        <v>5.09769636038357E-010</v>
      </c>
    </row>
    <row r="50" customFormat="false" ht="15" hidden="false" customHeight="true" outlineLevel="0" collapsed="false">
      <c r="A50" s="5" t="s">
        <v>74</v>
      </c>
      <c r="B50" s="5" t="s">
        <v>75</v>
      </c>
      <c r="C50" s="5" t="s">
        <v>236</v>
      </c>
      <c r="D50" s="6" t="n">
        <v>0.132008330947442</v>
      </c>
      <c r="E50" s="6" t="n">
        <v>0.0213091425472711</v>
      </c>
      <c r="F50" s="7" t="n">
        <v>5.83164205346558E-010</v>
      </c>
    </row>
    <row r="51" customFormat="false" ht="15" hidden="false" customHeight="true" outlineLevel="0" collapsed="false">
      <c r="A51" s="5" t="s">
        <v>74</v>
      </c>
      <c r="B51" s="5" t="s">
        <v>75</v>
      </c>
      <c r="C51" s="5" t="s">
        <v>237</v>
      </c>
      <c r="D51" s="6" t="n">
        <v>0.134036443381417</v>
      </c>
      <c r="E51" s="6" t="n">
        <v>0.0213000633633939</v>
      </c>
      <c r="F51" s="7" t="n">
        <v>3.11846122988813E-010</v>
      </c>
    </row>
    <row r="52" customFormat="false" ht="15" hidden="false" customHeight="true" outlineLevel="0" collapsed="false">
      <c r="A52" s="5" t="s">
        <v>74</v>
      </c>
      <c r="B52" s="5" t="s">
        <v>75</v>
      </c>
      <c r="C52" s="5" t="s">
        <v>238</v>
      </c>
      <c r="D52" s="6" t="n">
        <v>0.135661856979274</v>
      </c>
      <c r="E52" s="6" t="n">
        <v>0.0212463816384794</v>
      </c>
      <c r="F52" s="7" t="n">
        <v>1.71201988177141E-010</v>
      </c>
    </row>
    <row r="53" customFormat="false" ht="15" hidden="false" customHeight="true" outlineLevel="0" collapsed="false">
      <c r="A53" s="5" t="s">
        <v>74</v>
      </c>
      <c r="B53" s="5" t="s">
        <v>75</v>
      </c>
      <c r="C53" s="5" t="s">
        <v>239</v>
      </c>
      <c r="D53" s="6" t="n">
        <v>0.13331654776494</v>
      </c>
      <c r="E53" s="6" t="n">
        <v>0.0213365621101328</v>
      </c>
      <c r="F53" s="7" t="n">
        <v>4.15030417351193E-010</v>
      </c>
    </row>
    <row r="54" customFormat="false" ht="15" hidden="false" customHeight="true" outlineLevel="0" collapsed="false">
      <c r="A54" s="5" t="s">
        <v>74</v>
      </c>
      <c r="B54" s="5" t="s">
        <v>75</v>
      </c>
      <c r="C54" s="5" t="s">
        <v>240</v>
      </c>
      <c r="D54" s="6" t="n">
        <v>0.133423077369125</v>
      </c>
      <c r="E54" s="6" t="n">
        <v>0.0213762110529702</v>
      </c>
      <c r="F54" s="7" t="n">
        <v>4.32946605038302E-010</v>
      </c>
    </row>
    <row r="55" customFormat="false" ht="15" hidden="false" customHeight="true" outlineLevel="0" collapsed="false">
      <c r="A55" s="5" t="s">
        <v>74</v>
      </c>
      <c r="B55" s="5" t="s">
        <v>75</v>
      </c>
      <c r="C55" s="5" t="s">
        <v>241</v>
      </c>
      <c r="D55" s="6" t="n">
        <v>0.127835425418444</v>
      </c>
      <c r="E55" s="6" t="n">
        <v>0.021374847657346</v>
      </c>
      <c r="F55" s="7" t="n">
        <v>2.22252609675613E-009</v>
      </c>
    </row>
    <row r="56" customFormat="false" ht="15" hidden="false" customHeight="true" outlineLevel="0" collapsed="false">
      <c r="A56" s="5" t="s">
        <v>74</v>
      </c>
      <c r="B56" s="5" t="s">
        <v>75</v>
      </c>
      <c r="C56" s="5" t="s">
        <v>242</v>
      </c>
      <c r="D56" s="6" t="n">
        <v>0.133470094206231</v>
      </c>
      <c r="E56" s="6" t="n">
        <v>0.0213752294275763</v>
      </c>
      <c r="F56" s="7" t="n">
        <v>4.26116616322657E-010</v>
      </c>
    </row>
    <row r="57" customFormat="false" ht="15" hidden="false" customHeight="true" outlineLevel="0" collapsed="false">
      <c r="A57" s="5" t="s">
        <v>74</v>
      </c>
      <c r="B57" s="5" t="s">
        <v>75</v>
      </c>
      <c r="C57" s="5" t="s">
        <v>243</v>
      </c>
      <c r="D57" s="6" t="n">
        <v>0.133166258493438</v>
      </c>
      <c r="E57" s="6" t="n">
        <v>0.0214755520890525</v>
      </c>
      <c r="F57" s="7" t="n">
        <v>5.61659774498315E-010</v>
      </c>
    </row>
    <row r="58" customFormat="false" ht="15" hidden="false" customHeight="true" outlineLevel="0" collapsed="false">
      <c r="A58" s="5" t="s">
        <v>74</v>
      </c>
      <c r="B58" s="5" t="s">
        <v>75</v>
      </c>
      <c r="C58" s="5" t="s">
        <v>244</v>
      </c>
      <c r="D58" s="6" t="n">
        <v>0.132912730678381</v>
      </c>
      <c r="E58" s="6" t="n">
        <v>0.0213590200741838</v>
      </c>
      <c r="F58" s="7" t="n">
        <v>4.8838592003409E-010</v>
      </c>
    </row>
    <row r="59" customFormat="false" ht="15" hidden="false" customHeight="true" outlineLevel="0" collapsed="false">
      <c r="A59" s="5" t="s">
        <v>74</v>
      </c>
      <c r="B59" s="5" t="s">
        <v>75</v>
      </c>
      <c r="C59" s="5" t="s">
        <v>245</v>
      </c>
      <c r="D59" s="6" t="n">
        <v>0.13455497598735</v>
      </c>
      <c r="E59" s="6" t="n">
        <v>0.0213745329269386</v>
      </c>
      <c r="F59" s="7" t="n">
        <v>3.07187504463561E-010</v>
      </c>
    </row>
    <row r="60" customFormat="false" ht="15" hidden="false" customHeight="true" outlineLevel="0" collapsed="false">
      <c r="A60" s="5" t="s">
        <v>74</v>
      </c>
      <c r="B60" s="5" t="s">
        <v>75</v>
      </c>
      <c r="C60" s="5" t="s">
        <v>246</v>
      </c>
      <c r="D60" s="6" t="n">
        <v>0.131522830496903</v>
      </c>
      <c r="E60" s="6" t="n">
        <v>0.0212093563621175</v>
      </c>
      <c r="F60" s="7" t="n">
        <v>5.60448316269698E-010</v>
      </c>
    </row>
    <row r="61" customFormat="false" ht="15" hidden="false" customHeight="true" outlineLevel="0" collapsed="false">
      <c r="A61" s="5" t="s">
        <v>74</v>
      </c>
      <c r="B61" s="5" t="s">
        <v>75</v>
      </c>
      <c r="C61" s="5" t="s">
        <v>247</v>
      </c>
      <c r="D61" s="6" t="n">
        <v>0.131259139347509</v>
      </c>
      <c r="E61" s="6" t="n">
        <v>0.021285578653527</v>
      </c>
      <c r="F61" s="7" t="n">
        <v>6.97845296520221E-010</v>
      </c>
    </row>
    <row r="62" customFormat="false" ht="15" hidden="false" customHeight="true" outlineLevel="0" collapsed="false">
      <c r="A62" s="5" t="s">
        <v>74</v>
      </c>
      <c r="B62" s="5" t="s">
        <v>75</v>
      </c>
      <c r="C62" s="5" t="s">
        <v>248</v>
      </c>
      <c r="D62" s="6" t="n">
        <v>0.134216213265859</v>
      </c>
      <c r="E62" s="6" t="n">
        <v>0.0212371399272575</v>
      </c>
      <c r="F62" s="7" t="n">
        <v>2.61763511809342E-010</v>
      </c>
    </row>
    <row r="63" customFormat="false" ht="15" hidden="false" customHeight="true" outlineLevel="0" collapsed="false">
      <c r="A63" s="5" t="s">
        <v>74</v>
      </c>
      <c r="B63" s="5" t="s">
        <v>75</v>
      </c>
      <c r="C63" s="5" t="s">
        <v>249</v>
      </c>
      <c r="D63" s="6" t="n">
        <v>0.133129530050647</v>
      </c>
      <c r="E63" s="6" t="n">
        <v>0.0214911999132723</v>
      </c>
      <c r="F63" s="7" t="n">
        <v>5.84307633694367E-010</v>
      </c>
    </row>
    <row r="64" customFormat="false" ht="15" hidden="false" customHeight="true" outlineLevel="0" collapsed="false">
      <c r="A64" s="5" t="s">
        <v>74</v>
      </c>
      <c r="B64" s="5" t="s">
        <v>75</v>
      </c>
      <c r="C64" s="5" t="s">
        <v>250</v>
      </c>
      <c r="D64" s="6" t="n">
        <v>0.138079740493861</v>
      </c>
      <c r="E64" s="6" t="n">
        <v>0.0208698719566333</v>
      </c>
      <c r="F64" s="7" t="n">
        <v>3.684907389767E-011</v>
      </c>
    </row>
    <row r="65" customFormat="false" ht="15" hidden="false" customHeight="true" outlineLevel="0" collapsed="false">
      <c r="A65" s="5" t="s">
        <v>74</v>
      </c>
      <c r="B65" s="5" t="s">
        <v>75</v>
      </c>
      <c r="C65" s="5" t="s">
        <v>251</v>
      </c>
      <c r="D65" s="6" t="n">
        <v>0.131507023561318</v>
      </c>
      <c r="E65" s="6" t="n">
        <v>0.0211562485718816</v>
      </c>
      <c r="F65" s="7" t="n">
        <v>5.10021440958435E-010</v>
      </c>
    </row>
    <row r="66" customFormat="false" ht="15" hidden="false" customHeight="true" outlineLevel="0" collapsed="false">
      <c r="A66" s="5" t="s">
        <v>74</v>
      </c>
      <c r="B66" s="5" t="s">
        <v>75</v>
      </c>
      <c r="C66" s="5" t="s">
        <v>252</v>
      </c>
      <c r="D66" s="6" t="n">
        <v>0.134557195829077</v>
      </c>
      <c r="E66" s="6" t="n">
        <v>0.021350200376682</v>
      </c>
      <c r="F66" s="7" t="n">
        <v>2.93098828749121E-010</v>
      </c>
    </row>
    <row r="67" customFormat="false" ht="15" hidden="false" customHeight="true" outlineLevel="0" collapsed="false">
      <c r="A67" s="5" t="s">
        <v>74</v>
      </c>
      <c r="B67" s="5" t="s">
        <v>75</v>
      </c>
      <c r="C67" s="5" t="s">
        <v>253</v>
      </c>
      <c r="D67" s="6" t="n">
        <v>0.135188327889156</v>
      </c>
      <c r="E67" s="6" t="n">
        <v>0.0213353349414446</v>
      </c>
      <c r="F67" s="7" t="n">
        <v>2.35259252465317E-010</v>
      </c>
    </row>
    <row r="68" customFormat="false" ht="15" hidden="false" customHeight="true" outlineLevel="0" collapsed="false">
      <c r="A68" s="5" t="s">
        <v>74</v>
      </c>
      <c r="B68" s="5" t="s">
        <v>75</v>
      </c>
      <c r="C68" s="5" t="s">
        <v>254</v>
      </c>
      <c r="D68" s="6" t="n">
        <v>0.136243310892996</v>
      </c>
      <c r="E68" s="6" t="n">
        <v>0.0212278573235743</v>
      </c>
      <c r="F68" s="7" t="n">
        <v>1.37951472625972E-010</v>
      </c>
    </row>
    <row r="69" customFormat="false" ht="15" hidden="false" customHeight="true" outlineLevel="0" collapsed="false">
      <c r="A69" s="5" t="s">
        <v>74</v>
      </c>
      <c r="B69" s="5" t="s">
        <v>75</v>
      </c>
      <c r="C69" s="5" t="s">
        <v>255</v>
      </c>
      <c r="D69" s="6" t="n">
        <v>0.133397413056746</v>
      </c>
      <c r="E69" s="6" t="n">
        <v>0.0214205120985477</v>
      </c>
      <c r="F69" s="7" t="n">
        <v>4.73771034265475E-010</v>
      </c>
    </row>
    <row r="70" customFormat="false" ht="15" hidden="false" customHeight="true" outlineLevel="0" collapsed="false">
      <c r="A70" s="5" t="s">
        <v>74</v>
      </c>
      <c r="B70" s="5" t="s">
        <v>75</v>
      </c>
      <c r="C70" s="5" t="s">
        <v>256</v>
      </c>
      <c r="D70" s="6" t="n">
        <v>0.13306007939982</v>
      </c>
      <c r="E70" s="6" t="n">
        <v>0.0214505551455183</v>
      </c>
      <c r="F70" s="7" t="n">
        <v>5.53593264659643E-010</v>
      </c>
    </row>
    <row r="71" customFormat="false" ht="15" hidden="false" customHeight="true" outlineLevel="0" collapsed="false">
      <c r="A71" s="5" t="s">
        <v>74</v>
      </c>
      <c r="B71" s="5" t="s">
        <v>75</v>
      </c>
      <c r="C71" s="5" t="s">
        <v>257</v>
      </c>
      <c r="D71" s="6" t="n">
        <v>0.13593988879492</v>
      </c>
      <c r="E71" s="6" t="n">
        <v>0.0211198108737404</v>
      </c>
      <c r="F71" s="7" t="n">
        <v>1.22175004071605E-010</v>
      </c>
    </row>
    <row r="72" customFormat="false" ht="15" hidden="false" customHeight="true" outlineLevel="0" collapsed="false">
      <c r="A72" s="5" t="s">
        <v>74</v>
      </c>
      <c r="B72" s="5" t="s">
        <v>75</v>
      </c>
      <c r="C72" s="5" t="s">
        <v>258</v>
      </c>
      <c r="D72" s="6" t="n">
        <v>0.134562773798624</v>
      </c>
      <c r="E72" s="6" t="n">
        <v>0.0213719118422515</v>
      </c>
      <c r="F72" s="7" t="n">
        <v>3.04944043455942E-010</v>
      </c>
    </row>
    <row r="73" customFormat="false" ht="15" hidden="false" customHeight="true" outlineLevel="0" collapsed="false">
      <c r="A73" s="5" t="s">
        <v>74</v>
      </c>
      <c r="B73" s="5" t="s">
        <v>75</v>
      </c>
      <c r="C73" s="5" t="s">
        <v>259</v>
      </c>
      <c r="D73" s="6" t="n">
        <v>0.135451806232011</v>
      </c>
      <c r="E73" s="6" t="n">
        <v>0.0218258095427522</v>
      </c>
      <c r="F73" s="7" t="n">
        <v>5.43370000478553E-010</v>
      </c>
    </row>
    <row r="74" customFormat="false" ht="15" hidden="false" customHeight="true" outlineLevel="0" collapsed="false">
      <c r="A74" s="5" t="s">
        <v>74</v>
      </c>
      <c r="B74" s="5" t="s">
        <v>75</v>
      </c>
      <c r="C74" s="5" t="s">
        <v>260</v>
      </c>
      <c r="D74" s="6" t="n">
        <v>0.134411157638154</v>
      </c>
      <c r="E74" s="6" t="n">
        <v>0.021489223109661</v>
      </c>
      <c r="F74" s="7" t="n">
        <v>3.97982345957159E-010</v>
      </c>
    </row>
    <row r="75" customFormat="false" ht="15" hidden="false" customHeight="true" outlineLevel="0" collapsed="false">
      <c r="A75" s="5" t="s">
        <v>74</v>
      </c>
      <c r="B75" s="5" t="s">
        <v>75</v>
      </c>
      <c r="C75" s="5" t="s">
        <v>261</v>
      </c>
      <c r="D75" s="6" t="n">
        <v>0.13443077882985</v>
      </c>
      <c r="E75" s="6" t="n">
        <v>0.0213250221857648</v>
      </c>
      <c r="F75" s="7" t="n">
        <v>2.9025030632982E-010</v>
      </c>
    </row>
    <row r="76" customFormat="false" ht="15" hidden="false" customHeight="true" outlineLevel="0" collapsed="false">
      <c r="A76" s="5" t="s">
        <v>74</v>
      </c>
      <c r="B76" s="5" t="s">
        <v>75</v>
      </c>
      <c r="C76" s="5" t="s">
        <v>262</v>
      </c>
      <c r="D76" s="6" t="n">
        <v>0.133365684245914</v>
      </c>
      <c r="E76" s="6" t="n">
        <v>0.0210799029543233</v>
      </c>
      <c r="F76" s="7" t="n">
        <v>2.50501007430857E-010</v>
      </c>
    </row>
    <row r="77" customFormat="false" ht="15" hidden="false" customHeight="true" outlineLevel="0" collapsed="false">
      <c r="A77" s="5" t="s">
        <v>74</v>
      </c>
      <c r="B77" s="5" t="s">
        <v>75</v>
      </c>
      <c r="C77" s="5" t="s">
        <v>263</v>
      </c>
      <c r="D77" s="6" t="n">
        <v>0.133039545828086</v>
      </c>
      <c r="E77" s="6" t="n">
        <v>0.0214133500201575</v>
      </c>
      <c r="F77" s="7" t="n">
        <v>5.20071501742997E-010</v>
      </c>
    </row>
    <row r="78" customFormat="false" ht="15" hidden="false" customHeight="true" outlineLevel="0" collapsed="false">
      <c r="A78" s="5" t="s">
        <v>74</v>
      </c>
      <c r="B78" s="5" t="s">
        <v>75</v>
      </c>
      <c r="C78" s="5" t="s">
        <v>264</v>
      </c>
      <c r="D78" s="6" t="n">
        <v>0.1332592428543</v>
      </c>
      <c r="E78" s="6" t="n">
        <v>0.0214037823712579</v>
      </c>
      <c r="F78" s="7" t="n">
        <v>4.78594784481952E-010</v>
      </c>
    </row>
    <row r="79" customFormat="false" ht="15" hidden="false" customHeight="true" outlineLevel="0" collapsed="false">
      <c r="A79" s="5" t="s">
        <v>74</v>
      </c>
      <c r="B79" s="5" t="s">
        <v>75</v>
      </c>
      <c r="C79" s="5" t="s">
        <v>265</v>
      </c>
      <c r="D79" s="6" t="n">
        <v>0.133769017480011</v>
      </c>
      <c r="E79" s="6" t="n">
        <v>0.0213754901894606</v>
      </c>
      <c r="F79" s="7" t="n">
        <v>3.89805526557815E-010</v>
      </c>
    </row>
    <row r="80" customFormat="false" ht="15" hidden="false" customHeight="true" outlineLevel="0" collapsed="false">
      <c r="A80" s="5" t="s">
        <v>74</v>
      </c>
      <c r="B80" s="5" t="s">
        <v>75</v>
      </c>
      <c r="C80" s="5" t="s">
        <v>266</v>
      </c>
      <c r="D80" s="6" t="n">
        <v>0.134894875155263</v>
      </c>
      <c r="E80" s="6" t="n">
        <v>0.0213979055357036</v>
      </c>
      <c r="F80" s="7" t="n">
        <v>2.89843669408168E-010</v>
      </c>
    </row>
    <row r="81" customFormat="false" ht="15" hidden="false" customHeight="true" outlineLevel="0" collapsed="false">
      <c r="A81" s="5" t="s">
        <v>74</v>
      </c>
      <c r="B81" s="5" t="s">
        <v>75</v>
      </c>
      <c r="C81" s="5" t="s">
        <v>267</v>
      </c>
      <c r="D81" s="6" t="n">
        <v>0.136716382661842</v>
      </c>
      <c r="E81" s="6" t="n">
        <v>0.0213047676207504</v>
      </c>
      <c r="F81" s="7" t="n">
        <v>1.38827999571128E-010</v>
      </c>
    </row>
    <row r="82" customFormat="false" ht="15" hidden="false" customHeight="true" outlineLevel="0" collapsed="false">
      <c r="A82" s="5" t="s">
        <v>74</v>
      </c>
      <c r="B82" s="5" t="s">
        <v>75</v>
      </c>
      <c r="C82" s="5" t="s">
        <v>268</v>
      </c>
      <c r="D82" s="6" t="n">
        <v>0.133594224557126</v>
      </c>
      <c r="E82" s="6" t="n">
        <v>0.0212667795548707</v>
      </c>
      <c r="F82" s="7" t="n">
        <v>3.34617642695506E-010</v>
      </c>
    </row>
    <row r="83" customFormat="false" ht="15" hidden="false" customHeight="true" outlineLevel="0" collapsed="false">
      <c r="A83" s="5" t="s">
        <v>74</v>
      </c>
      <c r="B83" s="5" t="s">
        <v>75</v>
      </c>
      <c r="C83" s="5" t="s">
        <v>269</v>
      </c>
      <c r="D83" s="6" t="n">
        <v>0.132627416408373</v>
      </c>
      <c r="E83" s="6" t="n">
        <v>0.0213663317217738</v>
      </c>
      <c r="F83" s="7" t="n">
        <v>5.38996639910187E-010</v>
      </c>
    </row>
    <row r="84" customFormat="false" ht="15" hidden="false" customHeight="true" outlineLevel="0" collapsed="false">
      <c r="A84" s="5" t="s">
        <v>74</v>
      </c>
      <c r="B84" s="5" t="s">
        <v>75</v>
      </c>
      <c r="C84" s="5" t="s">
        <v>270</v>
      </c>
      <c r="D84" s="6" t="n">
        <v>0.135407010627865</v>
      </c>
      <c r="E84" s="6" t="n">
        <v>0.0211660761387206</v>
      </c>
      <c r="F84" s="7" t="n">
        <v>1.58086223691923E-010</v>
      </c>
    </row>
    <row r="85" customFormat="false" ht="15" hidden="false" customHeight="true" outlineLevel="0" collapsed="false">
      <c r="A85" s="5" t="s">
        <v>74</v>
      </c>
      <c r="B85" s="5" t="s">
        <v>75</v>
      </c>
      <c r="C85" s="5" t="s">
        <v>271</v>
      </c>
      <c r="D85" s="6" t="n">
        <v>0.133003095281758</v>
      </c>
      <c r="E85" s="6" t="n">
        <v>0.0213802142342015</v>
      </c>
      <c r="F85" s="7" t="n">
        <v>4.94470259084459E-010</v>
      </c>
    </row>
    <row r="86" customFormat="false" ht="15" hidden="false" customHeight="true" outlineLevel="0" collapsed="false">
      <c r="A86" s="5" t="s">
        <v>74</v>
      </c>
      <c r="B86" s="5" t="s">
        <v>75</v>
      </c>
      <c r="C86" s="5" t="s">
        <v>272</v>
      </c>
      <c r="D86" s="6" t="n">
        <v>0.135724539577478</v>
      </c>
      <c r="E86" s="6" t="n">
        <v>0.0212497377996952</v>
      </c>
      <c r="F86" s="7" t="n">
        <v>1.69043447757331E-010</v>
      </c>
    </row>
    <row r="87" customFormat="false" ht="15" hidden="false" customHeight="true" outlineLevel="0" collapsed="false">
      <c r="A87" s="5" t="s">
        <v>74</v>
      </c>
      <c r="B87" s="5" t="s">
        <v>75</v>
      </c>
      <c r="C87" s="5" t="s">
        <v>273</v>
      </c>
      <c r="D87" s="6" t="n">
        <v>0.136585448651184</v>
      </c>
      <c r="E87" s="6" t="n">
        <v>0.0209253545404904</v>
      </c>
      <c r="F87" s="7" t="n">
        <v>6.69790375292717E-011</v>
      </c>
    </row>
    <row r="88" customFormat="false" ht="15" hidden="false" customHeight="true" outlineLevel="0" collapsed="false">
      <c r="A88" s="5" t="s">
        <v>74</v>
      </c>
      <c r="B88" s="5" t="s">
        <v>75</v>
      </c>
      <c r="C88" s="5" t="s">
        <v>274</v>
      </c>
      <c r="D88" s="6" t="n">
        <v>0.130671182097085</v>
      </c>
      <c r="E88" s="6" t="n">
        <v>0.021727119870998</v>
      </c>
      <c r="F88" s="7" t="n">
        <v>1.80780407149065E-009</v>
      </c>
    </row>
    <row r="89" customFormat="false" ht="15" hidden="false" customHeight="true" outlineLevel="0" collapsed="false">
      <c r="A89" s="5" t="s">
        <v>74</v>
      </c>
      <c r="B89" s="5" t="s">
        <v>75</v>
      </c>
      <c r="C89" s="5" t="s">
        <v>275</v>
      </c>
      <c r="D89" s="6" t="n">
        <v>0.128650835437337</v>
      </c>
      <c r="E89" s="6" t="n">
        <v>0.0209966358547367</v>
      </c>
      <c r="F89" s="7" t="n">
        <v>8.9432376920104E-010</v>
      </c>
    </row>
    <row r="90" customFormat="false" ht="15" hidden="false" customHeight="true" outlineLevel="0" collapsed="false">
      <c r="A90" s="5" t="s">
        <v>74</v>
      </c>
      <c r="B90" s="5" t="s">
        <v>75</v>
      </c>
      <c r="C90" s="5" t="s">
        <v>276</v>
      </c>
      <c r="D90" s="6" t="n">
        <v>0.13555990260435</v>
      </c>
      <c r="E90" s="6" t="n">
        <v>0.0212072927843787</v>
      </c>
      <c r="F90" s="7" t="n">
        <v>1.63584150904032E-010</v>
      </c>
    </row>
    <row r="91" customFormat="false" ht="15" hidden="false" customHeight="true" outlineLevel="0" collapsed="false">
      <c r="A91" s="5" t="s">
        <v>74</v>
      </c>
      <c r="B91" s="5" t="s">
        <v>75</v>
      </c>
      <c r="C91" s="5" t="s">
        <v>277</v>
      </c>
      <c r="D91" s="6" t="n">
        <v>0.133034389713136</v>
      </c>
      <c r="E91" s="6" t="n">
        <v>0.021261477514315</v>
      </c>
      <c r="F91" s="7" t="n">
        <v>3.92296694043704E-010</v>
      </c>
    </row>
    <row r="92" customFormat="false" ht="15" hidden="false" customHeight="true" outlineLevel="0" collapsed="false">
      <c r="A92" s="5" t="s">
        <v>74</v>
      </c>
      <c r="B92" s="5" t="s">
        <v>75</v>
      </c>
      <c r="C92" s="5" t="s">
        <v>278</v>
      </c>
      <c r="D92" s="6" t="n">
        <v>0.134439761814413</v>
      </c>
      <c r="E92" s="6" t="n">
        <v>0.0214513497718462</v>
      </c>
      <c r="F92" s="7" t="n">
        <v>3.67613021962928E-010</v>
      </c>
    </row>
    <row r="93" customFormat="false" ht="15" hidden="false" customHeight="true" outlineLevel="0" collapsed="false">
      <c r="A93" s="5" t="s">
        <v>74</v>
      </c>
      <c r="B93" s="5" t="s">
        <v>75</v>
      </c>
      <c r="C93" s="5" t="s">
        <v>279</v>
      </c>
      <c r="D93" s="6" t="n">
        <v>0.133248117998613</v>
      </c>
      <c r="E93" s="6" t="n">
        <v>0.021461145634987</v>
      </c>
      <c r="F93" s="7" t="n">
        <v>5.33882349027652E-010</v>
      </c>
    </row>
    <row r="94" customFormat="false" ht="15" hidden="false" customHeight="true" outlineLevel="0" collapsed="false">
      <c r="A94" s="5" t="s">
        <v>74</v>
      </c>
      <c r="B94" s="5" t="s">
        <v>75</v>
      </c>
      <c r="C94" s="5" t="s">
        <v>280</v>
      </c>
      <c r="D94" s="6" t="n">
        <v>0.133701253938615</v>
      </c>
      <c r="E94" s="6" t="n">
        <v>0.0213812531871812</v>
      </c>
      <c r="F94" s="7" t="n">
        <v>4.02126444070195E-010</v>
      </c>
    </row>
    <row r="95" customFormat="false" ht="15" hidden="false" customHeight="true" outlineLevel="0" collapsed="false">
      <c r="A95" s="5" t="s">
        <v>74</v>
      </c>
      <c r="B95" s="5" t="s">
        <v>75</v>
      </c>
      <c r="C95" s="5" t="s">
        <v>281</v>
      </c>
      <c r="D95" s="6" t="n">
        <v>0.134158299291149</v>
      </c>
      <c r="E95" s="6" t="n">
        <v>0.0213175058445292</v>
      </c>
      <c r="F95" s="7" t="n">
        <v>3.10707966536777E-010</v>
      </c>
    </row>
    <row r="96" customFormat="false" ht="15" hidden="false" customHeight="true" outlineLevel="0" collapsed="false">
      <c r="A96" s="5" t="s">
        <v>74</v>
      </c>
      <c r="B96" s="5" t="s">
        <v>75</v>
      </c>
      <c r="C96" s="5" t="s">
        <v>282</v>
      </c>
      <c r="D96" s="6" t="n">
        <v>0.129817506318016</v>
      </c>
      <c r="E96" s="6" t="n">
        <v>0.0210819999664638</v>
      </c>
      <c r="F96" s="7" t="n">
        <v>7.3789664366986E-010</v>
      </c>
    </row>
    <row r="97" customFormat="false" ht="15" hidden="false" customHeight="true" outlineLevel="0" collapsed="false">
      <c r="A97" s="5" t="s">
        <v>74</v>
      </c>
      <c r="B97" s="5" t="s">
        <v>75</v>
      </c>
      <c r="C97" s="5" t="s">
        <v>283</v>
      </c>
      <c r="D97" s="6" t="n">
        <v>0.132682272132412</v>
      </c>
      <c r="E97" s="6" t="n">
        <v>0.0213578459961229</v>
      </c>
      <c r="F97" s="7" t="n">
        <v>5.22002164637107E-010</v>
      </c>
    </row>
    <row r="98" customFormat="false" ht="15" hidden="false" customHeight="true" outlineLevel="0" collapsed="false">
      <c r="A98" s="5" t="s">
        <v>74</v>
      </c>
      <c r="B98" s="5" t="s">
        <v>75</v>
      </c>
      <c r="C98" s="5" t="s">
        <v>284</v>
      </c>
      <c r="D98" s="6" t="n">
        <v>0.131933702354609</v>
      </c>
      <c r="E98" s="6" t="n">
        <v>0.0212400834553459</v>
      </c>
      <c r="F98" s="7" t="n">
        <v>5.24666615944847E-010</v>
      </c>
    </row>
    <row r="99" customFormat="false" ht="15" hidden="false" customHeight="true" outlineLevel="0" collapsed="false">
      <c r="A99" s="5" t="s">
        <v>74</v>
      </c>
      <c r="B99" s="5" t="s">
        <v>75</v>
      </c>
      <c r="C99" s="5" t="s">
        <v>285</v>
      </c>
      <c r="D99" s="6" t="n">
        <v>0.133140687288725</v>
      </c>
      <c r="E99" s="6" t="n">
        <v>0.02138442121386</v>
      </c>
      <c r="F99" s="7" t="n">
        <v>4.78311273750417E-010</v>
      </c>
    </row>
    <row r="100" customFormat="false" ht="15" hidden="false" customHeight="true" outlineLevel="0" collapsed="false">
      <c r="A100" s="5" t="s">
        <v>74</v>
      </c>
      <c r="B100" s="5" t="s">
        <v>75</v>
      </c>
      <c r="C100" s="5" t="s">
        <v>286</v>
      </c>
      <c r="D100" s="6" t="n">
        <v>0.133427455742975</v>
      </c>
      <c r="E100" s="6" t="n">
        <v>0.0212948232439503</v>
      </c>
      <c r="F100" s="7" t="n">
        <v>3.71100401168714E-010</v>
      </c>
    </row>
    <row r="101" customFormat="false" ht="15" hidden="false" customHeight="true" outlineLevel="0" collapsed="false">
      <c r="A101" s="5" t="s">
        <v>74</v>
      </c>
      <c r="B101" s="5" t="s">
        <v>75</v>
      </c>
      <c r="C101" s="5" t="s">
        <v>287</v>
      </c>
      <c r="D101" s="6" t="n">
        <v>0.135290460320744</v>
      </c>
      <c r="E101" s="6" t="n">
        <v>0.0212689941769996</v>
      </c>
      <c r="F101" s="7" t="n">
        <v>2.00543364953875E-010</v>
      </c>
    </row>
    <row r="102" customFormat="false" ht="15" hidden="false" customHeight="true" outlineLevel="0" collapsed="false">
      <c r="A102" s="5" t="s">
        <v>74</v>
      </c>
      <c r="B102" s="5" t="s">
        <v>75</v>
      </c>
      <c r="C102" s="5" t="s">
        <v>288</v>
      </c>
      <c r="D102" s="6" t="n">
        <v>0.129997257854589</v>
      </c>
      <c r="E102" s="6" t="n">
        <v>0.0210774899109991</v>
      </c>
      <c r="F102" s="7" t="n">
        <v>6.93398579921899E-010</v>
      </c>
    </row>
    <row r="103" customFormat="false" ht="15" hidden="false" customHeight="true" outlineLevel="0" collapsed="false">
      <c r="A103" s="5" t="s">
        <v>74</v>
      </c>
      <c r="B103" s="5" t="s">
        <v>75</v>
      </c>
      <c r="C103" s="5" t="s">
        <v>289</v>
      </c>
      <c r="D103" s="6" t="n">
        <v>0.13050375873679</v>
      </c>
      <c r="E103" s="6" t="n">
        <v>0.0218926194312753</v>
      </c>
      <c r="F103" s="7" t="n">
        <v>2.50569037854416E-009</v>
      </c>
    </row>
    <row r="104" customFormat="false" ht="15" hidden="false" customHeight="true" outlineLevel="0" collapsed="false">
      <c r="A104" s="5" t="s">
        <v>74</v>
      </c>
      <c r="B104" s="5" t="s">
        <v>75</v>
      </c>
      <c r="C104" s="5" t="s">
        <v>290</v>
      </c>
      <c r="D104" s="6" t="n">
        <v>0.134687271451518</v>
      </c>
      <c r="E104" s="6" t="n">
        <v>0.0213039036950023</v>
      </c>
      <c r="F104" s="7" t="n">
        <v>2.57886359223026E-010</v>
      </c>
    </row>
    <row r="105" customFormat="false" ht="15" hidden="false" customHeight="true" outlineLevel="0" collapsed="false">
      <c r="A105" s="5" t="s">
        <v>74</v>
      </c>
      <c r="B105" s="5" t="s">
        <v>75</v>
      </c>
      <c r="C105" s="5" t="s">
        <v>291</v>
      </c>
      <c r="D105" s="6" t="n">
        <v>0.129988939722925</v>
      </c>
      <c r="E105" s="6" t="n">
        <v>0.0213074962883603</v>
      </c>
      <c r="F105" s="7" t="n">
        <v>1.05657771403448E-009</v>
      </c>
    </row>
    <row r="106" customFormat="false" ht="15" hidden="false" customHeight="true" outlineLevel="0" collapsed="false">
      <c r="A106" s="5" t="s">
        <v>74</v>
      </c>
      <c r="B106" s="5" t="s">
        <v>75</v>
      </c>
      <c r="C106" s="5" t="s">
        <v>292</v>
      </c>
      <c r="D106" s="6" t="n">
        <v>0.134836202894661</v>
      </c>
      <c r="E106" s="6" t="n">
        <v>0.0212893505368464</v>
      </c>
      <c r="F106" s="7" t="n">
        <v>2.39653915293308E-010</v>
      </c>
    </row>
    <row r="107" customFormat="false" ht="15" hidden="false" customHeight="true" outlineLevel="0" collapsed="false">
      <c r="A107" s="5" t="s">
        <v>74</v>
      </c>
      <c r="B107" s="5" t="s">
        <v>75</v>
      </c>
      <c r="C107" s="5" t="s">
        <v>186</v>
      </c>
      <c r="D107" s="6" t="n">
        <v>0.131598547591935</v>
      </c>
      <c r="E107" s="6" t="n">
        <v>0.021878434775507</v>
      </c>
      <c r="F107" s="7" t="n">
        <v>1.79898759314768E-009</v>
      </c>
    </row>
    <row r="108" customFormat="false" ht="15" hidden="false" customHeight="true" outlineLevel="0" collapsed="false">
      <c r="A108" s="5" t="s">
        <v>74</v>
      </c>
      <c r="B108" s="5" t="s">
        <v>75</v>
      </c>
      <c r="C108" s="5" t="s">
        <v>293</v>
      </c>
      <c r="D108" s="6" t="n">
        <v>0.131274008996172</v>
      </c>
      <c r="E108" s="6" t="n">
        <v>0.0213457235839472</v>
      </c>
      <c r="F108" s="7" t="n">
        <v>7.75331079192376E-010</v>
      </c>
    </row>
    <row r="109" customFormat="false" ht="15" hidden="false" customHeight="true" outlineLevel="0" collapsed="false">
      <c r="A109" s="5" t="s">
        <v>74</v>
      </c>
      <c r="B109" s="5" t="s">
        <v>75</v>
      </c>
      <c r="C109" s="5" t="s">
        <v>294</v>
      </c>
      <c r="D109" s="6" t="n">
        <v>0.133741051489244</v>
      </c>
      <c r="E109" s="6" t="n">
        <v>0.0213832850034422</v>
      </c>
      <c r="F109" s="7" t="n">
        <v>3.98875660247281E-010</v>
      </c>
    </row>
    <row r="110" customFormat="false" ht="15" hidden="false" customHeight="true" outlineLevel="0" collapsed="false">
      <c r="A110" s="5" t="s">
        <v>74</v>
      </c>
      <c r="B110" s="5" t="s">
        <v>75</v>
      </c>
      <c r="C110" s="5" t="s">
        <v>295</v>
      </c>
      <c r="D110" s="6" t="n">
        <v>0.134444815750517</v>
      </c>
      <c r="E110" s="6" t="n">
        <v>0.0213981585258932</v>
      </c>
      <c r="F110" s="7" t="n">
        <v>3.32082513571763E-010</v>
      </c>
    </row>
    <row r="111" customFormat="false" ht="15" hidden="false" customHeight="true" outlineLevel="0" collapsed="false">
      <c r="A111" s="5" t="s">
        <v>74</v>
      </c>
      <c r="B111" s="5" t="s">
        <v>75</v>
      </c>
      <c r="C111" s="5" t="s">
        <v>296</v>
      </c>
      <c r="D111" s="6" t="n">
        <v>0.133242223227387</v>
      </c>
      <c r="E111" s="6" t="n">
        <v>0.021456991328755</v>
      </c>
      <c r="F111" s="7" t="n">
        <v>5.30741330004387E-010</v>
      </c>
    </row>
    <row r="112" customFormat="false" ht="15" hidden="false" customHeight="true" outlineLevel="0" collapsed="false">
      <c r="A112" s="5" t="s">
        <v>74</v>
      </c>
      <c r="B112" s="5" t="s">
        <v>75</v>
      </c>
      <c r="C112" s="5" t="s">
        <v>297</v>
      </c>
      <c r="D112" s="6" t="n">
        <v>0.134633600394816</v>
      </c>
      <c r="E112" s="6" t="n">
        <v>0.02134418080644</v>
      </c>
      <c r="F112" s="7" t="n">
        <v>2.83134410585043E-010</v>
      </c>
    </row>
    <row r="113" customFormat="false" ht="15" hidden="false" customHeight="true" outlineLevel="0" collapsed="false">
      <c r="A113" s="5" t="s">
        <v>74</v>
      </c>
      <c r="B113" s="5" t="s">
        <v>75</v>
      </c>
      <c r="C113" s="5" t="s">
        <v>298</v>
      </c>
      <c r="D113" s="6" t="n">
        <v>0.13459921154429</v>
      </c>
      <c r="E113" s="6" t="n">
        <v>0.0213736757711858</v>
      </c>
      <c r="F113" s="7" t="n">
        <v>3.02622356835897E-010</v>
      </c>
    </row>
    <row r="114" customFormat="false" ht="15" hidden="false" customHeight="true" outlineLevel="0" collapsed="false">
      <c r="A114" s="5" t="s">
        <v>74</v>
      </c>
      <c r="B114" s="5" t="s">
        <v>75</v>
      </c>
      <c r="C114" s="5" t="s">
        <v>299</v>
      </c>
      <c r="D114" s="6" t="n">
        <v>0.133280481556321</v>
      </c>
      <c r="E114" s="6" t="n">
        <v>0.0212753202727922</v>
      </c>
      <c r="F114" s="7" t="n">
        <v>3.7388396115078E-010</v>
      </c>
    </row>
    <row r="115" customFormat="false" ht="15" hidden="false" customHeight="true" outlineLevel="0" collapsed="false">
      <c r="A115" s="5" t="s">
        <v>74</v>
      </c>
      <c r="B115" s="5" t="s">
        <v>75</v>
      </c>
      <c r="C115" s="5" t="s">
        <v>300</v>
      </c>
      <c r="D115" s="6" t="n">
        <v>0.133226280472245</v>
      </c>
      <c r="E115" s="6" t="n">
        <v>0.0214354430677946</v>
      </c>
      <c r="F115" s="7" t="n">
        <v>5.12484347747615E-010</v>
      </c>
    </row>
    <row r="116" customFormat="false" ht="15" hidden="false" customHeight="true" outlineLevel="0" collapsed="false">
      <c r="A116" s="5" t="s">
        <v>74</v>
      </c>
      <c r="B116" s="5" t="s">
        <v>75</v>
      </c>
      <c r="C116" s="5" t="s">
        <v>301</v>
      </c>
      <c r="D116" s="6" t="n">
        <v>0.13245202756232</v>
      </c>
      <c r="E116" s="6" t="n">
        <v>0.0212946028983478</v>
      </c>
      <c r="F116" s="7" t="n">
        <v>4.97214770384933E-010</v>
      </c>
    </row>
    <row r="117" customFormat="false" ht="15" hidden="false" customHeight="true" outlineLevel="0" collapsed="false">
      <c r="A117" s="5" t="s">
        <v>74</v>
      </c>
      <c r="B117" s="5" t="s">
        <v>75</v>
      </c>
      <c r="C117" s="5" t="s">
        <v>302</v>
      </c>
      <c r="D117" s="6" t="n">
        <v>0.13604752153331</v>
      </c>
      <c r="E117" s="6" t="n">
        <v>0.021236314203183</v>
      </c>
      <c r="F117" s="7" t="n">
        <v>1.49032637498146E-010</v>
      </c>
    </row>
    <row r="118" customFormat="false" ht="15" hidden="false" customHeight="true" outlineLevel="0" collapsed="false">
      <c r="A118" s="5" t="s">
        <v>74</v>
      </c>
      <c r="B118" s="5" t="s">
        <v>75</v>
      </c>
      <c r="C118" s="5" t="s">
        <v>303</v>
      </c>
      <c r="D118" s="6" t="n">
        <v>0.128230204364951</v>
      </c>
      <c r="E118" s="6" t="n">
        <v>0.0213399785679665</v>
      </c>
      <c r="F118" s="7" t="n">
        <v>1.86764308255753E-009</v>
      </c>
    </row>
    <row r="119" customFormat="false" ht="15" hidden="false" customHeight="true" outlineLevel="0" collapsed="false">
      <c r="A119" s="5" t="s">
        <v>74</v>
      </c>
      <c r="B119" s="5" t="s">
        <v>75</v>
      </c>
      <c r="C119" s="5" t="s">
        <v>304</v>
      </c>
      <c r="D119" s="6" t="n">
        <v>0.136326625188605</v>
      </c>
      <c r="E119" s="6" t="n">
        <v>0.0211753807589278</v>
      </c>
      <c r="F119" s="7" t="n">
        <v>1.21075930808493E-010</v>
      </c>
    </row>
    <row r="120" customFormat="false" ht="15" hidden="false" customHeight="true" outlineLevel="0" collapsed="false">
      <c r="A120" s="5" t="s">
        <v>74</v>
      </c>
      <c r="B120" s="5" t="s">
        <v>75</v>
      </c>
      <c r="C120" s="5" t="s">
        <v>305</v>
      </c>
      <c r="D120" s="6" t="n">
        <v>0.136947302602146</v>
      </c>
      <c r="E120" s="6" t="n">
        <v>0.0211063315725024</v>
      </c>
      <c r="F120" s="7" t="n">
        <v>8.67259582937938E-011</v>
      </c>
    </row>
    <row r="121" customFormat="false" ht="15" hidden="false" customHeight="true" outlineLevel="0" collapsed="false">
      <c r="A121" s="5" t="s">
        <v>74</v>
      </c>
      <c r="B121" s="5" t="s">
        <v>75</v>
      </c>
      <c r="C121" s="5" t="s">
        <v>306</v>
      </c>
      <c r="D121" s="6" t="n">
        <v>0.133494228135727</v>
      </c>
      <c r="E121" s="6" t="n">
        <v>0.0212232262556976</v>
      </c>
      <c r="F121" s="7" t="n">
        <v>3.17452964127852E-010</v>
      </c>
    </row>
    <row r="122" customFormat="false" ht="15" hidden="false" customHeight="true" outlineLevel="0" collapsed="false">
      <c r="A122" s="5" t="s">
        <v>88</v>
      </c>
      <c r="B122" s="5" t="s">
        <v>75</v>
      </c>
      <c r="C122" s="5" t="s">
        <v>307</v>
      </c>
      <c r="D122" s="6" t="n">
        <v>0.187988349266864</v>
      </c>
      <c r="E122" s="6" t="n">
        <v>0.0395311880193782</v>
      </c>
      <c r="F122" s="7" t="n">
        <v>1.98010784710545E-006</v>
      </c>
    </row>
    <row r="123" customFormat="false" ht="15" hidden="false" customHeight="true" outlineLevel="0" collapsed="false">
      <c r="A123" s="5" t="s">
        <v>88</v>
      </c>
      <c r="B123" s="5" t="s">
        <v>75</v>
      </c>
      <c r="C123" s="5" t="s">
        <v>308</v>
      </c>
      <c r="D123" s="6" t="n">
        <v>0.186603325709594</v>
      </c>
      <c r="E123" s="6" t="n">
        <v>0.0395436381372756</v>
      </c>
      <c r="F123" s="7" t="n">
        <v>2.37098238801699E-006</v>
      </c>
    </row>
    <row r="124" customFormat="false" ht="15" hidden="false" customHeight="true" outlineLevel="0" collapsed="false">
      <c r="A124" s="5" t="s">
        <v>88</v>
      </c>
      <c r="B124" s="5" t="s">
        <v>75</v>
      </c>
      <c r="C124" s="5" t="s">
        <v>309</v>
      </c>
      <c r="D124" s="6" t="n">
        <v>0.189606621702997</v>
      </c>
      <c r="E124" s="6" t="n">
        <v>0.039522312687963</v>
      </c>
      <c r="F124" s="7" t="n">
        <v>1.60692162881883E-006</v>
      </c>
    </row>
    <row r="125" customFormat="false" ht="15" hidden="false" customHeight="true" outlineLevel="0" collapsed="false">
      <c r="A125" s="5" t="s">
        <v>88</v>
      </c>
      <c r="B125" s="5" t="s">
        <v>75</v>
      </c>
      <c r="C125" s="5" t="s">
        <v>310</v>
      </c>
      <c r="D125" s="6" t="n">
        <v>0.187367321405566</v>
      </c>
      <c r="E125" s="6" t="n">
        <v>0.0395950073026302</v>
      </c>
      <c r="F125" s="7" t="n">
        <v>2.22214768832614E-006</v>
      </c>
    </row>
    <row r="126" customFormat="false" ht="15" hidden="false" customHeight="true" outlineLevel="0" collapsed="false">
      <c r="A126" s="5" t="s">
        <v>88</v>
      </c>
      <c r="B126" s="5" t="s">
        <v>75</v>
      </c>
      <c r="C126" s="5" t="s">
        <v>311</v>
      </c>
      <c r="D126" s="6" t="n">
        <v>0.184977292279088</v>
      </c>
      <c r="E126" s="6" t="n">
        <v>0.0395032978754789</v>
      </c>
      <c r="F126" s="7" t="n">
        <v>2.83288681001836E-006</v>
      </c>
    </row>
    <row r="127" customFormat="false" ht="15" hidden="false" customHeight="true" outlineLevel="0" collapsed="false">
      <c r="A127" s="5" t="s">
        <v>88</v>
      </c>
      <c r="B127" s="5" t="s">
        <v>75</v>
      </c>
      <c r="C127" s="5" t="s">
        <v>312</v>
      </c>
      <c r="D127" s="6" t="n">
        <v>0.186372223581763</v>
      </c>
      <c r="E127" s="6" t="n">
        <v>0.0395858146157364</v>
      </c>
      <c r="F127" s="7" t="n">
        <v>2.50090664718673E-006</v>
      </c>
    </row>
    <row r="128" customFormat="false" ht="15" hidden="false" customHeight="true" outlineLevel="0" collapsed="false">
      <c r="A128" s="5" t="s">
        <v>88</v>
      </c>
      <c r="B128" s="5" t="s">
        <v>75</v>
      </c>
      <c r="C128" s="5" t="s">
        <v>313</v>
      </c>
      <c r="D128" s="6" t="n">
        <v>0.185705549626135</v>
      </c>
      <c r="E128" s="6" t="n">
        <v>0.0394355673015343</v>
      </c>
      <c r="F128" s="7" t="n">
        <v>2.48827852871163E-006</v>
      </c>
    </row>
    <row r="129" customFormat="false" ht="15" hidden="false" customHeight="true" outlineLevel="0" collapsed="false">
      <c r="A129" s="5" t="s">
        <v>88</v>
      </c>
      <c r="B129" s="5" t="s">
        <v>75</v>
      </c>
      <c r="C129" s="5" t="s">
        <v>314</v>
      </c>
      <c r="D129" s="6" t="n">
        <v>0.182133703350435</v>
      </c>
      <c r="E129" s="6" t="n">
        <v>0.0397633716512869</v>
      </c>
      <c r="F129" s="7" t="n">
        <v>4.64000656129719E-006</v>
      </c>
    </row>
    <row r="130" customFormat="false" ht="15" hidden="false" customHeight="true" outlineLevel="0" collapsed="false">
      <c r="A130" s="5" t="s">
        <v>88</v>
      </c>
      <c r="B130" s="5" t="s">
        <v>75</v>
      </c>
      <c r="C130" s="5" t="s">
        <v>315</v>
      </c>
      <c r="D130" s="6" t="n">
        <v>0.188265449817591</v>
      </c>
      <c r="E130" s="6" t="n">
        <v>0.0395740141407699</v>
      </c>
      <c r="F130" s="7" t="n">
        <v>1.96199671170552E-006</v>
      </c>
    </row>
    <row r="131" customFormat="false" ht="15" hidden="false" customHeight="true" outlineLevel="0" collapsed="false">
      <c r="A131" s="5" t="s">
        <v>88</v>
      </c>
      <c r="B131" s="5" t="s">
        <v>75</v>
      </c>
      <c r="C131" s="5" t="s">
        <v>316</v>
      </c>
      <c r="D131" s="6" t="n">
        <v>0.183266975486247</v>
      </c>
      <c r="E131" s="6" t="n">
        <v>0.0394629119516568</v>
      </c>
      <c r="F131" s="7" t="n">
        <v>3.41676720437834E-006</v>
      </c>
    </row>
    <row r="132" customFormat="false" ht="15" hidden="false" customHeight="true" outlineLevel="0" collapsed="false">
      <c r="A132" s="5" t="s">
        <v>88</v>
      </c>
      <c r="B132" s="5" t="s">
        <v>75</v>
      </c>
      <c r="C132" s="5" t="s">
        <v>317</v>
      </c>
      <c r="D132" s="6" t="n">
        <v>0.187086215842619</v>
      </c>
      <c r="E132" s="6" t="n">
        <v>0.0395533446606594</v>
      </c>
      <c r="F132" s="7" t="n">
        <v>2.24550718653709E-006</v>
      </c>
    </row>
    <row r="133" customFormat="false" ht="15" hidden="false" customHeight="true" outlineLevel="0" collapsed="false">
      <c r="A133" s="5" t="s">
        <v>88</v>
      </c>
      <c r="B133" s="5" t="s">
        <v>75</v>
      </c>
      <c r="C133" s="5" t="s">
        <v>318</v>
      </c>
      <c r="D133" s="6" t="n">
        <v>0.18484797329193</v>
      </c>
      <c r="E133" s="6" t="n">
        <v>0.0395970014289964</v>
      </c>
      <c r="F133" s="7" t="n">
        <v>3.03803326040148E-006</v>
      </c>
    </row>
    <row r="134" customFormat="false" ht="15" hidden="false" customHeight="true" outlineLevel="0" collapsed="false">
      <c r="A134" s="5" t="s">
        <v>88</v>
      </c>
      <c r="B134" s="5" t="s">
        <v>75</v>
      </c>
      <c r="C134" s="5" t="s">
        <v>319</v>
      </c>
      <c r="D134" s="6" t="n">
        <v>0.186207448533751</v>
      </c>
      <c r="E134" s="6" t="n">
        <v>0.0395361221847293</v>
      </c>
      <c r="F134" s="7" t="n">
        <v>2.47953210899323E-006</v>
      </c>
    </row>
    <row r="135" customFormat="false" ht="15" hidden="false" customHeight="true" outlineLevel="0" collapsed="false">
      <c r="A135" s="5" t="s">
        <v>88</v>
      </c>
      <c r="B135" s="5" t="s">
        <v>75</v>
      </c>
      <c r="C135" s="5" t="s">
        <v>320</v>
      </c>
      <c r="D135" s="6" t="n">
        <v>0.189079498766653</v>
      </c>
      <c r="E135" s="6" t="n">
        <v>0.039585173833989</v>
      </c>
      <c r="F135" s="7" t="n">
        <v>1.78352039358612E-006</v>
      </c>
    </row>
    <row r="136" customFormat="false" ht="15" hidden="false" customHeight="true" outlineLevel="0" collapsed="false">
      <c r="A136" s="5" t="s">
        <v>88</v>
      </c>
      <c r="B136" s="5" t="s">
        <v>75</v>
      </c>
      <c r="C136" s="5" t="s">
        <v>321</v>
      </c>
      <c r="D136" s="6" t="n">
        <v>0.186175831288483</v>
      </c>
      <c r="E136" s="6" t="n">
        <v>0.0395640326530562</v>
      </c>
      <c r="F136" s="7" t="n">
        <v>2.53016309846319E-006</v>
      </c>
    </row>
    <row r="137" customFormat="false" ht="15" hidden="false" customHeight="true" outlineLevel="0" collapsed="false">
      <c r="A137" s="5" t="s">
        <v>88</v>
      </c>
      <c r="B137" s="5" t="s">
        <v>75</v>
      </c>
      <c r="C137" s="5" t="s">
        <v>322</v>
      </c>
      <c r="D137" s="6" t="n">
        <v>0.190977490771208</v>
      </c>
      <c r="E137" s="6" t="n">
        <v>0.0395257236367191</v>
      </c>
      <c r="F137" s="7" t="n">
        <v>1.35354036975685E-006</v>
      </c>
    </row>
    <row r="138" customFormat="false" ht="15" hidden="false" customHeight="true" outlineLevel="0" collapsed="false">
      <c r="A138" s="5" t="s">
        <v>88</v>
      </c>
      <c r="B138" s="5" t="s">
        <v>75</v>
      </c>
      <c r="C138" s="5" t="s">
        <v>323</v>
      </c>
      <c r="D138" s="6" t="n">
        <v>0.187460981153897</v>
      </c>
      <c r="E138" s="6" t="n">
        <v>0.0395457829698814</v>
      </c>
      <c r="F138" s="7" t="n">
        <v>2.13345920187939E-006</v>
      </c>
    </row>
    <row r="139" customFormat="false" ht="15" hidden="false" customHeight="true" outlineLevel="0" collapsed="false">
      <c r="A139" s="5" t="s">
        <v>88</v>
      </c>
      <c r="B139" s="5" t="s">
        <v>75</v>
      </c>
      <c r="C139" s="5" t="s">
        <v>324</v>
      </c>
      <c r="D139" s="6" t="n">
        <v>0.18346672789935</v>
      </c>
      <c r="E139" s="6" t="n">
        <v>0.0392890379946555</v>
      </c>
      <c r="F139" s="7" t="n">
        <v>3.01688226059797E-006</v>
      </c>
    </row>
    <row r="140" customFormat="false" ht="15" hidden="false" customHeight="true" outlineLevel="0" collapsed="false">
      <c r="A140" s="5" t="s">
        <v>88</v>
      </c>
      <c r="B140" s="5" t="s">
        <v>75</v>
      </c>
      <c r="C140" s="5" t="s">
        <v>325</v>
      </c>
      <c r="D140" s="6" t="n">
        <v>0.189856003731062</v>
      </c>
      <c r="E140" s="6" t="n">
        <v>0.0394069501970498</v>
      </c>
      <c r="F140" s="7" t="n">
        <v>1.45127626282782E-006</v>
      </c>
    </row>
    <row r="141" customFormat="false" ht="15" hidden="false" customHeight="true" outlineLevel="0" collapsed="false">
      <c r="A141" s="5" t="s">
        <v>88</v>
      </c>
      <c r="B141" s="5" t="s">
        <v>75</v>
      </c>
      <c r="C141" s="5" t="s">
        <v>326</v>
      </c>
      <c r="D141" s="6" t="n">
        <v>0.188270676094092</v>
      </c>
      <c r="E141" s="6" t="n">
        <v>0.0396037876012393</v>
      </c>
      <c r="F141" s="7" t="n">
        <v>1.99573886471513E-006</v>
      </c>
    </row>
    <row r="142" customFormat="false" ht="15" hidden="false" customHeight="true" outlineLevel="0" collapsed="false">
      <c r="A142" s="5" t="s">
        <v>88</v>
      </c>
      <c r="B142" s="5" t="s">
        <v>75</v>
      </c>
      <c r="C142" s="5" t="s">
        <v>327</v>
      </c>
      <c r="D142" s="6" t="n">
        <v>0.187088045275406</v>
      </c>
      <c r="E142" s="6" t="n">
        <v>0.0396130655930647</v>
      </c>
      <c r="F142" s="7" t="n">
        <v>2.32519689373166E-006</v>
      </c>
    </row>
    <row r="143" customFormat="false" ht="15" hidden="false" customHeight="true" outlineLevel="0" collapsed="false">
      <c r="A143" s="5" t="s">
        <v>88</v>
      </c>
      <c r="B143" s="5" t="s">
        <v>75</v>
      </c>
      <c r="C143" s="5" t="s">
        <v>328</v>
      </c>
      <c r="D143" s="6" t="n">
        <v>0.187286722130577</v>
      </c>
      <c r="E143" s="6" t="n">
        <v>0.0395987409654117</v>
      </c>
      <c r="F143" s="7" t="n">
        <v>2.24948164768631E-006</v>
      </c>
    </row>
    <row r="144" customFormat="false" ht="15" hidden="false" customHeight="true" outlineLevel="0" collapsed="false">
      <c r="A144" s="5" t="s">
        <v>88</v>
      </c>
      <c r="B144" s="5" t="s">
        <v>75</v>
      </c>
      <c r="C144" s="5" t="s">
        <v>329</v>
      </c>
      <c r="D144" s="6" t="n">
        <v>0.188310104240325</v>
      </c>
      <c r="E144" s="6" t="n">
        <v>0.0395867766898591</v>
      </c>
      <c r="F144" s="7" t="n">
        <v>1.96594239886139E-006</v>
      </c>
    </row>
    <row r="145" customFormat="false" ht="15" hidden="false" customHeight="true" outlineLevel="0" collapsed="false">
      <c r="A145" s="5" t="s">
        <v>88</v>
      </c>
      <c r="B145" s="5" t="s">
        <v>75</v>
      </c>
      <c r="C145" s="5" t="s">
        <v>330</v>
      </c>
      <c r="D145" s="6" t="n">
        <v>0.185331685762625</v>
      </c>
      <c r="E145" s="6" t="n">
        <v>0.0395552110280812</v>
      </c>
      <c r="F145" s="7" t="n">
        <v>2.79424044723192E-006</v>
      </c>
    </row>
    <row r="146" customFormat="false" ht="15" hidden="false" customHeight="true" outlineLevel="0" collapsed="false">
      <c r="A146" s="5" t="s">
        <v>88</v>
      </c>
      <c r="B146" s="5" t="s">
        <v>75</v>
      </c>
      <c r="C146" s="5" t="s">
        <v>331</v>
      </c>
      <c r="D146" s="6" t="n">
        <v>0.187796096331214</v>
      </c>
      <c r="E146" s="6" t="n">
        <v>0.03958794263497</v>
      </c>
      <c r="F146" s="7" t="n">
        <v>2.09776974809712E-006</v>
      </c>
    </row>
    <row r="147" customFormat="false" ht="15" hidden="false" customHeight="true" outlineLevel="0" collapsed="false">
      <c r="A147" s="5" t="s">
        <v>88</v>
      </c>
      <c r="B147" s="5" t="s">
        <v>75</v>
      </c>
      <c r="C147" s="5" t="s">
        <v>332</v>
      </c>
      <c r="D147" s="6" t="n">
        <v>0.185217361950137</v>
      </c>
      <c r="E147" s="6" t="n">
        <v>0.0396161802627588</v>
      </c>
      <c r="F147" s="7" t="n">
        <v>2.93530193754964E-006</v>
      </c>
    </row>
    <row r="148" customFormat="false" ht="15" hidden="false" customHeight="true" outlineLevel="0" collapsed="false">
      <c r="A148" s="5" t="s">
        <v>88</v>
      </c>
      <c r="B148" s="5" t="s">
        <v>75</v>
      </c>
      <c r="C148" s="5" t="s">
        <v>333</v>
      </c>
      <c r="D148" s="6" t="n">
        <v>0.187145367643126</v>
      </c>
      <c r="E148" s="6" t="n">
        <v>0.0395938786886975</v>
      </c>
      <c r="F148" s="7" t="n">
        <v>2.28283682641001E-006</v>
      </c>
    </row>
    <row r="149" customFormat="false" ht="15" hidden="false" customHeight="true" outlineLevel="0" collapsed="false">
      <c r="A149" s="5" t="s">
        <v>88</v>
      </c>
      <c r="B149" s="5" t="s">
        <v>75</v>
      </c>
      <c r="C149" s="5" t="s">
        <v>334</v>
      </c>
      <c r="D149" s="6" t="n">
        <v>0.188736437659411</v>
      </c>
      <c r="E149" s="6" t="n">
        <v>0.0395823373438571</v>
      </c>
      <c r="F149" s="7" t="n">
        <v>1.85880682011745E-006</v>
      </c>
    </row>
    <row r="150" customFormat="false" ht="15" hidden="false" customHeight="true" outlineLevel="0" collapsed="false">
      <c r="A150" s="5" t="s">
        <v>88</v>
      </c>
      <c r="B150" s="5" t="s">
        <v>75</v>
      </c>
      <c r="C150" s="5" t="s">
        <v>335</v>
      </c>
      <c r="D150" s="6" t="n">
        <v>0.188979607623691</v>
      </c>
      <c r="E150" s="6" t="n">
        <v>0.0395487026809703</v>
      </c>
      <c r="F150" s="7" t="n">
        <v>1.7669367593522E-006</v>
      </c>
    </row>
    <row r="151" customFormat="false" ht="15" hidden="false" customHeight="true" outlineLevel="0" collapsed="false">
      <c r="A151" s="5" t="s">
        <v>88</v>
      </c>
      <c r="B151" s="5" t="s">
        <v>75</v>
      </c>
      <c r="C151" s="5" t="s">
        <v>336</v>
      </c>
      <c r="D151" s="6" t="n">
        <v>0.18756229849771</v>
      </c>
      <c r="E151" s="6" t="n">
        <v>0.0395712927135902</v>
      </c>
      <c r="F151" s="7" t="n">
        <v>2.13868310865617E-006</v>
      </c>
    </row>
    <row r="152" customFormat="false" ht="15" hidden="false" customHeight="true" outlineLevel="0" collapsed="false">
      <c r="A152" s="5" t="s">
        <v>88</v>
      </c>
      <c r="B152" s="5" t="s">
        <v>75</v>
      </c>
      <c r="C152" s="5" t="s">
        <v>337</v>
      </c>
      <c r="D152" s="6" t="n">
        <v>0.189250077590252</v>
      </c>
      <c r="E152" s="6" t="n">
        <v>0.0395710538347353</v>
      </c>
      <c r="F152" s="7" t="n">
        <v>1.73095457044116E-006</v>
      </c>
    </row>
    <row r="153" customFormat="false" ht="15" hidden="false" customHeight="true" outlineLevel="0" collapsed="false">
      <c r="A153" s="5" t="s">
        <v>88</v>
      </c>
      <c r="B153" s="5" t="s">
        <v>75</v>
      </c>
      <c r="C153" s="5" t="s">
        <v>338</v>
      </c>
      <c r="D153" s="6" t="n">
        <v>0.1878206036726</v>
      </c>
      <c r="E153" s="6" t="n">
        <v>0.0395883056075698</v>
      </c>
      <c r="F153" s="7" t="n">
        <v>2.09181453468052E-006</v>
      </c>
    </row>
    <row r="154" customFormat="false" ht="15" hidden="false" customHeight="true" outlineLevel="0" collapsed="false">
      <c r="A154" s="5" t="s">
        <v>88</v>
      </c>
      <c r="B154" s="5" t="s">
        <v>75</v>
      </c>
      <c r="C154" s="5" t="s">
        <v>339</v>
      </c>
      <c r="D154" s="6" t="n">
        <v>0.188078499678202</v>
      </c>
      <c r="E154" s="6" t="n">
        <v>0.0395961835476511</v>
      </c>
      <c r="F154" s="7" t="n">
        <v>2.0350233253072E-006</v>
      </c>
    </row>
    <row r="155" customFormat="false" ht="15" hidden="false" customHeight="true" outlineLevel="0" collapsed="false">
      <c r="A155" s="5" t="s">
        <v>88</v>
      </c>
      <c r="B155" s="5" t="s">
        <v>75</v>
      </c>
      <c r="C155" s="5" t="s">
        <v>340</v>
      </c>
      <c r="D155" s="6" t="n">
        <v>0.188569720427797</v>
      </c>
      <c r="E155" s="6" t="n">
        <v>0.0395799072954523</v>
      </c>
      <c r="F155" s="7" t="n">
        <v>1.89530130485706E-006</v>
      </c>
    </row>
    <row r="156" customFormat="false" ht="15" hidden="false" customHeight="true" outlineLevel="0" collapsed="false">
      <c r="A156" s="5" t="s">
        <v>88</v>
      </c>
      <c r="B156" s="5" t="s">
        <v>75</v>
      </c>
      <c r="C156" s="5" t="s">
        <v>341</v>
      </c>
      <c r="D156" s="6" t="n">
        <v>0.188148859947889</v>
      </c>
      <c r="E156" s="6" t="n">
        <v>0.0396266051250326</v>
      </c>
      <c r="F156" s="7" t="n">
        <v>2.0539348096239E-006</v>
      </c>
    </row>
    <row r="157" customFormat="false" ht="15" hidden="false" customHeight="true" outlineLevel="0" collapsed="false">
      <c r="A157" s="5" t="s">
        <v>88</v>
      </c>
      <c r="B157" s="5" t="s">
        <v>75</v>
      </c>
      <c r="C157" s="5" t="s">
        <v>342</v>
      </c>
      <c r="D157" s="6" t="n">
        <v>0.188069368323302</v>
      </c>
      <c r="E157" s="6" t="n">
        <v>0.0395724305433236</v>
      </c>
      <c r="F157" s="7" t="n">
        <v>2.00881802846968E-006</v>
      </c>
    </row>
    <row r="158" customFormat="false" ht="15" hidden="false" customHeight="true" outlineLevel="0" collapsed="false">
      <c r="A158" s="5" t="s">
        <v>88</v>
      </c>
      <c r="B158" s="5" t="s">
        <v>75</v>
      </c>
      <c r="C158" s="5" t="s">
        <v>343</v>
      </c>
      <c r="D158" s="6" t="n">
        <v>0.187398589299117</v>
      </c>
      <c r="E158" s="6" t="n">
        <v>0.0395219633846531</v>
      </c>
      <c r="F158" s="7" t="n">
        <v>2.12003906323248E-006</v>
      </c>
    </row>
    <row r="159" customFormat="false" ht="15" hidden="false" customHeight="true" outlineLevel="0" collapsed="false">
      <c r="A159" s="5" t="s">
        <v>88</v>
      </c>
      <c r="B159" s="5" t="s">
        <v>75</v>
      </c>
      <c r="C159" s="5" t="s">
        <v>344</v>
      </c>
      <c r="D159" s="6" t="n">
        <v>0.185097253312617</v>
      </c>
      <c r="E159" s="6" t="n">
        <v>0.0396073779928972</v>
      </c>
      <c r="F159" s="7" t="n">
        <v>2.96394910737786E-006</v>
      </c>
    </row>
    <row r="160" customFormat="false" ht="15" hidden="false" customHeight="true" outlineLevel="0" collapsed="false">
      <c r="A160" s="5" t="s">
        <v>88</v>
      </c>
      <c r="B160" s="5" t="s">
        <v>75</v>
      </c>
      <c r="C160" s="5" t="s">
        <v>345</v>
      </c>
      <c r="D160" s="6" t="n">
        <v>0.18807815933801</v>
      </c>
      <c r="E160" s="6" t="n">
        <v>0.0395760011221654</v>
      </c>
      <c r="F160" s="7" t="n">
        <v>2.01087282075258E-006</v>
      </c>
    </row>
    <row r="161" customFormat="false" ht="15" hidden="false" customHeight="true" outlineLevel="0" collapsed="false">
      <c r="A161" s="5" t="s">
        <v>88</v>
      </c>
      <c r="B161" s="5" t="s">
        <v>75</v>
      </c>
      <c r="C161" s="5" t="s">
        <v>346</v>
      </c>
      <c r="D161" s="6" t="n">
        <v>0.18602882764055</v>
      </c>
      <c r="E161" s="6" t="n">
        <v>0.0395956033092183</v>
      </c>
      <c r="F161" s="7" t="n">
        <v>2.62439559442239E-006</v>
      </c>
    </row>
    <row r="162" customFormat="false" ht="15" hidden="false" customHeight="true" outlineLevel="0" collapsed="false">
      <c r="A162" s="5" t="s">
        <v>88</v>
      </c>
      <c r="B162" s="5" t="s">
        <v>75</v>
      </c>
      <c r="C162" s="5" t="s">
        <v>347</v>
      </c>
      <c r="D162" s="6" t="n">
        <v>0.194634510999456</v>
      </c>
      <c r="E162" s="6" t="n">
        <v>0.0398568891660311</v>
      </c>
      <c r="F162" s="7" t="n">
        <v>1.04306846119095E-006</v>
      </c>
    </row>
    <row r="163" customFormat="false" ht="15" hidden="false" customHeight="true" outlineLevel="0" collapsed="false">
      <c r="A163" s="5" t="s">
        <v>88</v>
      </c>
      <c r="B163" s="5" t="s">
        <v>75</v>
      </c>
      <c r="C163" s="5" t="s">
        <v>348</v>
      </c>
      <c r="D163" s="6" t="n">
        <v>0.187820927662862</v>
      </c>
      <c r="E163" s="6" t="n">
        <v>0.0396423295204521</v>
      </c>
      <c r="F163" s="7" t="n">
        <v>2.15956826970358E-006</v>
      </c>
    </row>
    <row r="164" customFormat="false" ht="15" hidden="false" customHeight="true" outlineLevel="0" collapsed="false">
      <c r="A164" s="5" t="s">
        <v>88</v>
      </c>
      <c r="B164" s="5" t="s">
        <v>75</v>
      </c>
      <c r="C164" s="5" t="s">
        <v>349</v>
      </c>
      <c r="D164" s="6" t="n">
        <v>0.186266500910376</v>
      </c>
      <c r="E164" s="6" t="n">
        <v>0.0395714552585643</v>
      </c>
      <c r="F164" s="7" t="n">
        <v>2.51274887588421E-006</v>
      </c>
    </row>
    <row r="165" customFormat="false" ht="15" hidden="false" customHeight="true" outlineLevel="0" collapsed="false">
      <c r="A165" s="5" t="s">
        <v>88</v>
      </c>
      <c r="B165" s="5" t="s">
        <v>75</v>
      </c>
      <c r="C165" s="5" t="s">
        <v>350</v>
      </c>
      <c r="D165" s="6" t="n">
        <v>0.18675921218787</v>
      </c>
      <c r="E165" s="6" t="n">
        <v>0.0396111903735855</v>
      </c>
      <c r="F165" s="7" t="n">
        <v>2.41937130044503E-006</v>
      </c>
    </row>
    <row r="166" customFormat="false" ht="15" hidden="false" customHeight="true" outlineLevel="0" collapsed="false">
      <c r="A166" s="5" t="s">
        <v>88</v>
      </c>
      <c r="B166" s="5" t="s">
        <v>75</v>
      </c>
      <c r="C166" s="5" t="s">
        <v>351</v>
      </c>
      <c r="D166" s="6" t="n">
        <v>0.187549587460701</v>
      </c>
      <c r="E166" s="6" t="n">
        <v>0.039616553750749</v>
      </c>
      <c r="F166" s="7" t="n">
        <v>2.20005677308047E-006</v>
      </c>
    </row>
    <row r="167" customFormat="false" ht="15" hidden="false" customHeight="true" outlineLevel="0" collapsed="false">
      <c r="A167" s="5" t="s">
        <v>88</v>
      </c>
      <c r="B167" s="5" t="s">
        <v>75</v>
      </c>
      <c r="C167" s="5" t="s">
        <v>352</v>
      </c>
      <c r="D167" s="6" t="n">
        <v>0.187711821382405</v>
      </c>
      <c r="E167" s="6" t="n">
        <v>0.039615791396677</v>
      </c>
      <c r="F167" s="7" t="n">
        <v>2.15510082874084E-006</v>
      </c>
    </row>
    <row r="168" customFormat="false" ht="15" hidden="false" customHeight="true" outlineLevel="0" collapsed="false">
      <c r="A168" s="5" t="s">
        <v>88</v>
      </c>
      <c r="B168" s="5" t="s">
        <v>75</v>
      </c>
      <c r="C168" s="5" t="s">
        <v>353</v>
      </c>
      <c r="D168" s="6" t="n">
        <v>0.188115123470066</v>
      </c>
      <c r="E168" s="6" t="n">
        <v>0.0396133407034203</v>
      </c>
      <c r="F168" s="7" t="n">
        <v>2.04645280490115E-006</v>
      </c>
    </row>
    <row r="169" customFormat="false" ht="15" hidden="false" customHeight="true" outlineLevel="0" collapsed="false">
      <c r="A169" s="5" t="s">
        <v>88</v>
      </c>
      <c r="B169" s="5" t="s">
        <v>75</v>
      </c>
      <c r="C169" s="5" t="s">
        <v>354</v>
      </c>
      <c r="D169" s="6" t="n">
        <v>0.187279280794922</v>
      </c>
      <c r="E169" s="6" t="n">
        <v>0.0396030093152595</v>
      </c>
      <c r="F169" s="7" t="n">
        <v>2.25722403159712E-006</v>
      </c>
    </row>
    <row r="170" customFormat="false" ht="15" hidden="false" customHeight="true" outlineLevel="0" collapsed="false">
      <c r="A170" s="5" t="s">
        <v>88</v>
      </c>
      <c r="B170" s="5" t="s">
        <v>75</v>
      </c>
      <c r="C170" s="5" t="s">
        <v>355</v>
      </c>
      <c r="D170" s="6" t="n">
        <v>0.184036315614902</v>
      </c>
      <c r="E170" s="6" t="n">
        <v>0.03954436944565</v>
      </c>
      <c r="F170" s="7" t="n">
        <v>3.25683854967541E-006</v>
      </c>
    </row>
    <row r="171" customFormat="false" ht="15" hidden="false" customHeight="true" outlineLevel="0" collapsed="false">
      <c r="A171" s="5" t="s">
        <v>88</v>
      </c>
      <c r="B171" s="5" t="s">
        <v>75</v>
      </c>
      <c r="C171" s="5" t="s">
        <v>356</v>
      </c>
      <c r="D171" s="6" t="n">
        <v>0.187288325169257</v>
      </c>
      <c r="E171" s="6" t="n">
        <v>0.0396107500258987</v>
      </c>
      <c r="F171" s="7" t="n">
        <v>2.26497128135539E-006</v>
      </c>
    </row>
    <row r="172" customFormat="false" ht="15" hidden="false" customHeight="true" outlineLevel="0" collapsed="false">
      <c r="A172" s="5" t="s">
        <v>88</v>
      </c>
      <c r="B172" s="5" t="s">
        <v>75</v>
      </c>
      <c r="C172" s="5" t="s">
        <v>357</v>
      </c>
      <c r="D172" s="6" t="n">
        <v>0.186260619692527</v>
      </c>
      <c r="E172" s="6" t="n">
        <v>0.0395393113032466</v>
      </c>
      <c r="F172" s="7" t="n">
        <v>2.4678206143866E-006</v>
      </c>
    </row>
    <row r="173" customFormat="false" ht="15" hidden="false" customHeight="true" outlineLevel="0" collapsed="false">
      <c r="A173" s="5" t="s">
        <v>88</v>
      </c>
      <c r="B173" s="5" t="s">
        <v>75</v>
      </c>
      <c r="C173" s="5" t="s">
        <v>358</v>
      </c>
      <c r="D173" s="6" t="n">
        <v>0.187579051086441</v>
      </c>
      <c r="E173" s="6" t="n">
        <v>0.0395708807033395</v>
      </c>
      <c r="F173" s="7" t="n">
        <v>2.13369929585212E-006</v>
      </c>
    </row>
    <row r="174" customFormat="false" ht="15" hidden="false" customHeight="true" outlineLevel="0" collapsed="false">
      <c r="A174" s="5" t="s">
        <v>88</v>
      </c>
      <c r="B174" s="5" t="s">
        <v>75</v>
      </c>
      <c r="C174" s="5" t="s">
        <v>359</v>
      </c>
      <c r="D174" s="6" t="n">
        <v>0.18774832290116</v>
      </c>
      <c r="E174" s="6" t="n">
        <v>0.0396077496302829</v>
      </c>
      <c r="F174" s="7" t="n">
        <v>2.13516192902268E-006</v>
      </c>
    </row>
    <row r="175" customFormat="false" ht="15" hidden="false" customHeight="true" outlineLevel="0" collapsed="false">
      <c r="A175" s="5" t="s">
        <v>88</v>
      </c>
      <c r="B175" s="5" t="s">
        <v>75</v>
      </c>
      <c r="C175" s="5" t="s">
        <v>360</v>
      </c>
      <c r="D175" s="6" t="n">
        <v>0.190912767858402</v>
      </c>
      <c r="E175" s="6" t="n">
        <v>0.0394664236217443</v>
      </c>
      <c r="F175" s="7" t="n">
        <v>1.31583901839939E-006</v>
      </c>
    </row>
    <row r="176" customFormat="false" ht="15" hidden="false" customHeight="true" outlineLevel="0" collapsed="false">
      <c r="A176" s="5" t="s">
        <v>88</v>
      </c>
      <c r="B176" s="5" t="s">
        <v>75</v>
      </c>
      <c r="C176" s="5" t="s">
        <v>361</v>
      </c>
      <c r="D176" s="6" t="n">
        <v>0.186602882092602</v>
      </c>
      <c r="E176" s="6" t="n">
        <v>0.0396839883998897</v>
      </c>
      <c r="F176" s="7" t="n">
        <v>2.57346781973801E-006</v>
      </c>
    </row>
    <row r="177" customFormat="false" ht="15" hidden="false" customHeight="true" outlineLevel="0" collapsed="false">
      <c r="A177" s="5" t="s">
        <v>88</v>
      </c>
      <c r="B177" s="5" t="s">
        <v>75</v>
      </c>
      <c r="C177" s="5" t="s">
        <v>362</v>
      </c>
      <c r="D177" s="6" t="n">
        <v>0.187721687545309</v>
      </c>
      <c r="E177" s="6" t="n">
        <v>0.0396268394244445</v>
      </c>
      <c r="F177" s="7" t="n">
        <v>2.16652888216422E-006</v>
      </c>
    </row>
    <row r="178" customFormat="false" ht="15" hidden="false" customHeight="true" outlineLevel="0" collapsed="false">
      <c r="A178" s="5" t="s">
        <v>88</v>
      </c>
      <c r="B178" s="5" t="s">
        <v>75</v>
      </c>
      <c r="C178" s="5" t="s">
        <v>363</v>
      </c>
      <c r="D178" s="6" t="n">
        <v>0.186683365391188</v>
      </c>
      <c r="E178" s="6" t="n">
        <v>0.0396254920219162</v>
      </c>
      <c r="F178" s="7" t="n">
        <v>2.46270114921186E-006</v>
      </c>
    </row>
    <row r="179" customFormat="false" ht="15" hidden="false" customHeight="true" outlineLevel="0" collapsed="false">
      <c r="A179" s="5" t="s">
        <v>88</v>
      </c>
      <c r="B179" s="5" t="s">
        <v>75</v>
      </c>
      <c r="C179" s="5" t="s">
        <v>364</v>
      </c>
      <c r="D179" s="6" t="n">
        <v>0.189016014756872</v>
      </c>
      <c r="E179" s="6" t="n">
        <v>0.0395562335964047</v>
      </c>
      <c r="F179" s="7" t="n">
        <v>1.76684316534937E-006</v>
      </c>
    </row>
    <row r="180" customFormat="false" ht="15" hidden="false" customHeight="true" outlineLevel="0" collapsed="false">
      <c r="A180" s="5" t="s">
        <v>88</v>
      </c>
      <c r="B180" s="5" t="s">
        <v>75</v>
      </c>
      <c r="C180" s="5" t="s">
        <v>365</v>
      </c>
      <c r="D180" s="6" t="n">
        <v>0.187403635977592</v>
      </c>
      <c r="E180" s="6" t="n">
        <v>0.0396074646613613</v>
      </c>
      <c r="F180" s="7" t="n">
        <v>2.22841397539476E-006</v>
      </c>
    </row>
    <row r="181" customFormat="false" ht="15" hidden="false" customHeight="true" outlineLevel="0" collapsed="false">
      <c r="A181" s="5" t="s">
        <v>88</v>
      </c>
      <c r="B181" s="5" t="s">
        <v>75</v>
      </c>
      <c r="C181" s="5" t="s">
        <v>366</v>
      </c>
      <c r="D181" s="6" t="n">
        <v>0.186345025874097</v>
      </c>
      <c r="E181" s="6" t="n">
        <v>0.0396093377104285</v>
      </c>
      <c r="F181" s="7" t="n">
        <v>2.54397668609614E-006</v>
      </c>
    </row>
    <row r="182" customFormat="false" ht="15" hidden="false" customHeight="true" outlineLevel="0" collapsed="false">
      <c r="A182" s="5" t="s">
        <v>88</v>
      </c>
      <c r="B182" s="5" t="s">
        <v>75</v>
      </c>
      <c r="C182" s="5" t="s">
        <v>367</v>
      </c>
      <c r="D182" s="6" t="n">
        <v>0.187482519047934</v>
      </c>
      <c r="E182" s="6" t="n">
        <v>0.0395820585541877</v>
      </c>
      <c r="F182" s="7" t="n">
        <v>2.17383886942771E-006</v>
      </c>
    </row>
    <row r="183" customFormat="false" ht="15" hidden="false" customHeight="true" outlineLevel="0" collapsed="false">
      <c r="A183" s="5" t="s">
        <v>88</v>
      </c>
      <c r="B183" s="5" t="s">
        <v>75</v>
      </c>
      <c r="C183" s="5" t="s">
        <v>368</v>
      </c>
      <c r="D183" s="6" t="n">
        <v>0.187384066584621</v>
      </c>
      <c r="E183" s="6" t="n">
        <v>0.0395945409483796</v>
      </c>
      <c r="F183" s="7" t="n">
        <v>2.21691227447152E-006</v>
      </c>
    </row>
    <row r="184" customFormat="false" ht="15" hidden="false" customHeight="true" outlineLevel="0" collapsed="false">
      <c r="A184" s="5" t="s">
        <v>88</v>
      </c>
      <c r="B184" s="5" t="s">
        <v>75</v>
      </c>
      <c r="C184" s="5" t="s">
        <v>369</v>
      </c>
      <c r="D184" s="6" t="n">
        <v>0.189322927074949</v>
      </c>
      <c r="E184" s="6" t="n">
        <v>0.039626194845187</v>
      </c>
      <c r="F184" s="7" t="n">
        <v>1.77292615069137E-006</v>
      </c>
    </row>
    <row r="185" customFormat="false" ht="15" hidden="false" customHeight="true" outlineLevel="0" collapsed="false">
      <c r="A185" s="5" t="s">
        <v>88</v>
      </c>
      <c r="B185" s="5" t="s">
        <v>75</v>
      </c>
      <c r="C185" s="5" t="s">
        <v>370</v>
      </c>
      <c r="D185" s="6" t="n">
        <v>0.191831630617705</v>
      </c>
      <c r="E185" s="6" t="n">
        <v>0.0393627175263884</v>
      </c>
      <c r="F185" s="7" t="n">
        <v>1.09674570767478E-006</v>
      </c>
    </row>
    <row r="186" customFormat="false" ht="15" hidden="false" customHeight="true" outlineLevel="0" collapsed="false">
      <c r="A186" s="5" t="s">
        <v>88</v>
      </c>
      <c r="B186" s="5" t="s">
        <v>75</v>
      </c>
      <c r="C186" s="5" t="s">
        <v>371</v>
      </c>
      <c r="D186" s="6" t="n">
        <v>0.186873329381254</v>
      </c>
      <c r="E186" s="6" t="n">
        <v>0.0396062426510899</v>
      </c>
      <c r="F186" s="7" t="n">
        <v>2.37847379434496E-006</v>
      </c>
    </row>
    <row r="187" customFormat="false" ht="15" hidden="false" customHeight="true" outlineLevel="0" collapsed="false">
      <c r="A187" s="5" t="s">
        <v>88</v>
      </c>
      <c r="B187" s="5" t="s">
        <v>75</v>
      </c>
      <c r="C187" s="5" t="s">
        <v>372</v>
      </c>
      <c r="D187" s="6" t="n">
        <v>0.188803634995799</v>
      </c>
      <c r="E187" s="6" t="n">
        <v>0.0395741103620731</v>
      </c>
      <c r="F187" s="7" t="n">
        <v>1.83415815324388E-006</v>
      </c>
    </row>
    <row r="188" customFormat="false" ht="15" hidden="false" customHeight="true" outlineLevel="0" collapsed="false">
      <c r="A188" s="5" t="s">
        <v>88</v>
      </c>
      <c r="B188" s="5" t="s">
        <v>75</v>
      </c>
      <c r="C188" s="5" t="s">
        <v>373</v>
      </c>
      <c r="D188" s="6" t="n">
        <v>0.186426353492687</v>
      </c>
      <c r="E188" s="6" t="n">
        <v>0.0395435415775503</v>
      </c>
      <c r="F188" s="7" t="n">
        <v>2.42355360198297E-006</v>
      </c>
    </row>
    <row r="189" customFormat="false" ht="15" hidden="false" customHeight="true" outlineLevel="0" collapsed="false">
      <c r="A189" s="5" t="s">
        <v>88</v>
      </c>
      <c r="B189" s="5" t="s">
        <v>75</v>
      </c>
      <c r="C189" s="5" t="s">
        <v>374</v>
      </c>
      <c r="D189" s="6" t="n">
        <v>0.187841299203138</v>
      </c>
      <c r="E189" s="6" t="n">
        <v>0.0395944598614806</v>
      </c>
      <c r="F189" s="7" t="n">
        <v>2.09403446895228E-006</v>
      </c>
    </row>
    <row r="190" customFormat="false" ht="15" hidden="false" customHeight="true" outlineLevel="0" collapsed="false">
      <c r="A190" s="5" t="s">
        <v>88</v>
      </c>
      <c r="B190" s="5" t="s">
        <v>75</v>
      </c>
      <c r="C190" s="5" t="s">
        <v>375</v>
      </c>
      <c r="D190" s="6" t="n">
        <v>0.18708735050744</v>
      </c>
      <c r="E190" s="6" t="n">
        <v>0.0396129341585219</v>
      </c>
      <c r="F190" s="7" t="n">
        <v>2.32521826476032E-006</v>
      </c>
    </row>
    <row r="191" customFormat="false" ht="15" hidden="false" customHeight="true" outlineLevel="0" collapsed="false">
      <c r="A191" s="5" t="s">
        <v>88</v>
      </c>
      <c r="B191" s="5" t="s">
        <v>75</v>
      </c>
      <c r="C191" s="5" t="s">
        <v>376</v>
      </c>
      <c r="D191" s="6" t="n">
        <v>0.187673673790274</v>
      </c>
      <c r="E191" s="6" t="n">
        <v>0.0395992264402013</v>
      </c>
      <c r="F191" s="7" t="n">
        <v>2.14429467952987E-006</v>
      </c>
    </row>
    <row r="192" customFormat="false" ht="15" hidden="false" customHeight="true" outlineLevel="0" collapsed="false">
      <c r="A192" s="5" t="s">
        <v>88</v>
      </c>
      <c r="B192" s="5" t="s">
        <v>75</v>
      </c>
      <c r="C192" s="5" t="s">
        <v>377</v>
      </c>
      <c r="D192" s="6" t="n">
        <v>0.188110173567931</v>
      </c>
      <c r="E192" s="6" t="n">
        <v>0.0395837172050375</v>
      </c>
      <c r="F192" s="7" t="n">
        <v>2.01204309437877E-006</v>
      </c>
    </row>
    <row r="193" customFormat="false" ht="15" hidden="false" customHeight="true" outlineLevel="0" collapsed="false">
      <c r="A193" s="5" t="s">
        <v>88</v>
      </c>
      <c r="B193" s="5" t="s">
        <v>75</v>
      </c>
      <c r="C193" s="5" t="s">
        <v>378</v>
      </c>
      <c r="D193" s="6" t="n">
        <v>0.188465137226436</v>
      </c>
      <c r="E193" s="6" t="n">
        <v>0.0395341141239873</v>
      </c>
      <c r="F193" s="7" t="n">
        <v>1.86848204451118E-006</v>
      </c>
    </row>
    <row r="194" customFormat="false" ht="15" hidden="false" customHeight="true" outlineLevel="0" collapsed="false">
      <c r="A194" s="5" t="s">
        <v>88</v>
      </c>
      <c r="B194" s="5" t="s">
        <v>75</v>
      </c>
      <c r="C194" s="5" t="s">
        <v>379</v>
      </c>
      <c r="D194" s="6" t="n">
        <v>0.187417933408225</v>
      </c>
      <c r="E194" s="6" t="n">
        <v>0.0396286179585494</v>
      </c>
      <c r="F194" s="7" t="n">
        <v>2.25230584497591E-006</v>
      </c>
    </row>
    <row r="195" customFormat="false" ht="15" hidden="false" customHeight="true" outlineLevel="0" collapsed="false">
      <c r="A195" s="5" t="s">
        <v>88</v>
      </c>
      <c r="B195" s="5" t="s">
        <v>75</v>
      </c>
      <c r="C195" s="5" t="s">
        <v>380</v>
      </c>
      <c r="D195" s="6" t="n">
        <v>0.186016537959807</v>
      </c>
      <c r="E195" s="6" t="n">
        <v>0.0395823360025864</v>
      </c>
      <c r="F195" s="7" t="n">
        <v>2.60820195438434E-006</v>
      </c>
    </row>
    <row r="196" customFormat="false" ht="15" hidden="false" customHeight="true" outlineLevel="0" collapsed="false">
      <c r="A196" s="5" t="s">
        <v>88</v>
      </c>
      <c r="B196" s="5" t="s">
        <v>75</v>
      </c>
      <c r="C196" s="5" t="s">
        <v>381</v>
      </c>
      <c r="D196" s="6" t="n">
        <v>0.185752793922682</v>
      </c>
      <c r="E196" s="6" t="n">
        <v>0.0395912876625348</v>
      </c>
      <c r="F196" s="7" t="n">
        <v>2.70865628803047E-006</v>
      </c>
    </row>
    <row r="197" customFormat="false" ht="15" hidden="false" customHeight="true" outlineLevel="0" collapsed="false">
      <c r="A197" s="5" t="s">
        <v>88</v>
      </c>
      <c r="B197" s="5" t="s">
        <v>75</v>
      </c>
      <c r="C197" s="5" t="s">
        <v>382</v>
      </c>
      <c r="D197" s="6" t="n">
        <v>0.188806803610885</v>
      </c>
      <c r="E197" s="6" t="n">
        <v>0.0395848963029065</v>
      </c>
      <c r="F197" s="7" t="n">
        <v>1.84530013994588E-006</v>
      </c>
    </row>
    <row r="198" customFormat="false" ht="15" hidden="false" customHeight="true" outlineLevel="0" collapsed="false">
      <c r="A198" s="5" t="s">
        <v>88</v>
      </c>
      <c r="B198" s="5" t="s">
        <v>75</v>
      </c>
      <c r="C198" s="5" t="s">
        <v>383</v>
      </c>
      <c r="D198" s="6" t="n">
        <v>0.186304992585135</v>
      </c>
      <c r="E198" s="6" t="n">
        <v>0.039609274974626</v>
      </c>
      <c r="F198" s="7" t="n">
        <v>2.55651543747579E-006</v>
      </c>
    </row>
    <row r="199" customFormat="false" ht="15" hidden="false" customHeight="true" outlineLevel="0" collapsed="false">
      <c r="A199" s="5" t="s">
        <v>88</v>
      </c>
      <c r="B199" s="5" t="s">
        <v>75</v>
      </c>
      <c r="C199" s="5" t="s">
        <v>384</v>
      </c>
      <c r="D199" s="6" t="n">
        <v>0.187603195332831</v>
      </c>
      <c r="E199" s="6" t="n">
        <v>0.039708274837365</v>
      </c>
      <c r="F199" s="7" t="n">
        <v>2.30640746365615E-006</v>
      </c>
    </row>
    <row r="200" customFormat="false" ht="15" hidden="false" customHeight="true" outlineLevel="0" collapsed="false">
      <c r="A200" s="5" t="s">
        <v>88</v>
      </c>
      <c r="B200" s="5" t="s">
        <v>75</v>
      </c>
      <c r="C200" s="5" t="s">
        <v>385</v>
      </c>
      <c r="D200" s="6" t="n">
        <v>0.186734903624835</v>
      </c>
      <c r="E200" s="6" t="n">
        <v>0.0396023487396801</v>
      </c>
      <c r="F200" s="7" t="n">
        <v>2.4141628055947E-006</v>
      </c>
    </row>
    <row r="201" customFormat="false" ht="15" hidden="false" customHeight="true" outlineLevel="0" collapsed="false">
      <c r="A201" s="5" t="s">
        <v>88</v>
      </c>
      <c r="B201" s="5" t="s">
        <v>75</v>
      </c>
      <c r="C201" s="5" t="s">
        <v>386</v>
      </c>
      <c r="D201" s="6" t="n">
        <v>0.18926332088674</v>
      </c>
      <c r="E201" s="6" t="n">
        <v>0.0396182948763131</v>
      </c>
      <c r="F201" s="7" t="n">
        <v>1.77779666809949E-006</v>
      </c>
    </row>
    <row r="202" customFormat="false" ht="15" hidden="false" customHeight="true" outlineLevel="0" collapsed="false">
      <c r="A202" s="5" t="s">
        <v>88</v>
      </c>
      <c r="B202" s="5" t="s">
        <v>75</v>
      </c>
      <c r="C202" s="5" t="s">
        <v>387</v>
      </c>
      <c r="D202" s="6" t="n">
        <v>0.187357336500861</v>
      </c>
      <c r="E202" s="6" t="n">
        <v>0.0395971361778358</v>
      </c>
      <c r="F202" s="7" t="n">
        <v>2.22770145577513E-006</v>
      </c>
    </row>
    <row r="203" customFormat="false" ht="15" hidden="false" customHeight="true" outlineLevel="0" collapsed="false">
      <c r="A203" s="5" t="s">
        <v>88</v>
      </c>
      <c r="B203" s="5" t="s">
        <v>75</v>
      </c>
      <c r="C203" s="5" t="s">
        <v>388</v>
      </c>
      <c r="D203" s="6" t="n">
        <v>0.18660105891776</v>
      </c>
      <c r="E203" s="6" t="n">
        <v>0.0396043168645107</v>
      </c>
      <c r="F203" s="7" t="n">
        <v>2.45738032925302E-006</v>
      </c>
    </row>
    <row r="204" customFormat="false" ht="15" hidden="false" customHeight="true" outlineLevel="0" collapsed="false">
      <c r="A204" s="5" t="s">
        <v>88</v>
      </c>
      <c r="B204" s="5" t="s">
        <v>75</v>
      </c>
      <c r="C204" s="5" t="s">
        <v>389</v>
      </c>
      <c r="D204" s="6" t="n">
        <v>0.188254277783749</v>
      </c>
      <c r="E204" s="6" t="n">
        <v>0.0395433763579929</v>
      </c>
      <c r="F204" s="7" t="n">
        <v>1.92919598393667E-006</v>
      </c>
    </row>
    <row r="205" customFormat="false" ht="15" hidden="false" customHeight="true" outlineLevel="0" collapsed="false">
      <c r="A205" s="5" t="s">
        <v>88</v>
      </c>
      <c r="B205" s="5" t="s">
        <v>75</v>
      </c>
      <c r="C205" s="5" t="s">
        <v>390</v>
      </c>
      <c r="D205" s="6" t="n">
        <v>0.187223655506733</v>
      </c>
      <c r="E205" s="6" t="n">
        <v>0.0395290175477887</v>
      </c>
      <c r="F205" s="7" t="n">
        <v>2.17590985456025E-006</v>
      </c>
    </row>
    <row r="206" customFormat="false" ht="15" hidden="false" customHeight="true" outlineLevel="0" collapsed="false">
      <c r="A206" s="5" t="s">
        <v>88</v>
      </c>
      <c r="B206" s="5" t="s">
        <v>75</v>
      </c>
      <c r="C206" s="5" t="s">
        <v>391</v>
      </c>
      <c r="D206" s="6" t="n">
        <v>0.186889618888817</v>
      </c>
      <c r="E206" s="6" t="n">
        <v>0.0395965327537999</v>
      </c>
      <c r="F206" s="7" t="n">
        <v>2.36020854036873E-006</v>
      </c>
    </row>
    <row r="207" customFormat="false" ht="15" hidden="false" customHeight="true" outlineLevel="0" collapsed="false">
      <c r="A207" s="5" t="s">
        <v>88</v>
      </c>
      <c r="B207" s="5" t="s">
        <v>75</v>
      </c>
      <c r="C207" s="5" t="s">
        <v>392</v>
      </c>
      <c r="D207" s="6" t="n">
        <v>0.187958088765627</v>
      </c>
      <c r="E207" s="6" t="n">
        <v>0.0396072541980005</v>
      </c>
      <c r="F207" s="7" t="n">
        <v>2.07943557754557E-006</v>
      </c>
    </row>
    <row r="208" customFormat="false" ht="15" hidden="false" customHeight="true" outlineLevel="0" collapsed="false">
      <c r="A208" s="5" t="s">
        <v>88</v>
      </c>
      <c r="B208" s="5" t="s">
        <v>75</v>
      </c>
      <c r="C208" s="5" t="s">
        <v>393</v>
      </c>
      <c r="D208" s="6" t="n">
        <v>0.189051271569269</v>
      </c>
      <c r="E208" s="6" t="n">
        <v>0.0397352801050663</v>
      </c>
      <c r="F208" s="7" t="n">
        <v>1.95744614369715E-006</v>
      </c>
    </row>
    <row r="209" customFormat="false" ht="15" hidden="false" customHeight="true" outlineLevel="0" collapsed="false">
      <c r="A209" s="5" t="s">
        <v>88</v>
      </c>
      <c r="B209" s="5" t="s">
        <v>75</v>
      </c>
      <c r="C209" s="5" t="s">
        <v>394</v>
      </c>
      <c r="D209" s="6" t="n">
        <v>0.184003541127795</v>
      </c>
      <c r="E209" s="6" t="n">
        <v>0.0394929349365155</v>
      </c>
      <c r="F209" s="7" t="n">
        <v>3.17516471090131E-006</v>
      </c>
    </row>
    <row r="210" customFormat="false" ht="15" hidden="false" customHeight="true" outlineLevel="0" collapsed="false">
      <c r="A210" s="5" t="s">
        <v>88</v>
      </c>
      <c r="B210" s="5" t="s">
        <v>75</v>
      </c>
      <c r="C210" s="5" t="s">
        <v>395</v>
      </c>
      <c r="D210" s="6" t="n">
        <v>0.187061242229393</v>
      </c>
      <c r="E210" s="6" t="n">
        <v>0.0395923288273419</v>
      </c>
      <c r="F210" s="7" t="n">
        <v>2.30473464359741E-006</v>
      </c>
    </row>
    <row r="211" customFormat="false" ht="15" hidden="false" customHeight="true" outlineLevel="0" collapsed="false">
      <c r="A211" s="5" t="s">
        <v>88</v>
      </c>
      <c r="B211" s="5" t="s">
        <v>75</v>
      </c>
      <c r="C211" s="5" t="s">
        <v>396</v>
      </c>
      <c r="D211" s="6" t="n">
        <v>0.188015673377886</v>
      </c>
      <c r="E211" s="6" t="n">
        <v>0.0396338004764158</v>
      </c>
      <c r="F211" s="7" t="n">
        <v>2.09723704820378E-006</v>
      </c>
    </row>
    <row r="212" customFormat="false" ht="15" hidden="false" customHeight="true" outlineLevel="0" collapsed="false">
      <c r="A212" s="5" t="s">
        <v>88</v>
      </c>
      <c r="B212" s="5" t="s">
        <v>75</v>
      </c>
      <c r="C212" s="5" t="s">
        <v>397</v>
      </c>
      <c r="D212" s="6" t="n">
        <v>0.187973452687238</v>
      </c>
      <c r="E212" s="6" t="n">
        <v>0.0396269101533361</v>
      </c>
      <c r="F212" s="7" t="n">
        <v>2.09973070129644E-006</v>
      </c>
    </row>
    <row r="213" customFormat="false" ht="15" hidden="false" customHeight="true" outlineLevel="0" collapsed="false">
      <c r="A213" s="5" t="s">
        <v>88</v>
      </c>
      <c r="B213" s="5" t="s">
        <v>75</v>
      </c>
      <c r="C213" s="5" t="s">
        <v>398</v>
      </c>
      <c r="D213" s="6" t="n">
        <v>0.188890367850761</v>
      </c>
      <c r="E213" s="6" t="n">
        <v>0.0396220077504898</v>
      </c>
      <c r="F213" s="7" t="n">
        <v>1.86702530777626E-006</v>
      </c>
    </row>
    <row r="214" customFormat="false" ht="15" hidden="false" customHeight="true" outlineLevel="0" collapsed="false">
      <c r="A214" s="5" t="s">
        <v>88</v>
      </c>
      <c r="B214" s="5" t="s">
        <v>75</v>
      </c>
      <c r="C214" s="5" t="s">
        <v>399</v>
      </c>
      <c r="D214" s="6" t="n">
        <v>0.18641355941565</v>
      </c>
      <c r="E214" s="6" t="n">
        <v>0.039618872643478</v>
      </c>
      <c r="F214" s="7" t="n">
        <v>2.53653605689044E-006</v>
      </c>
    </row>
    <row r="215" customFormat="false" ht="15" hidden="false" customHeight="true" outlineLevel="0" collapsed="false">
      <c r="A215" s="5" t="s">
        <v>88</v>
      </c>
      <c r="B215" s="5" t="s">
        <v>75</v>
      </c>
      <c r="C215" s="5" t="s">
        <v>400</v>
      </c>
      <c r="D215" s="6" t="n">
        <v>0.188846747758462</v>
      </c>
      <c r="E215" s="6" t="n">
        <v>0.0396039358545134</v>
      </c>
      <c r="F215" s="7" t="n">
        <v>1.85710165122162E-006</v>
      </c>
    </row>
    <row r="216" customFormat="false" ht="15" hidden="false" customHeight="true" outlineLevel="0" collapsed="false">
      <c r="A216" s="5" t="s">
        <v>88</v>
      </c>
      <c r="B216" s="5" t="s">
        <v>75</v>
      </c>
      <c r="C216" s="5" t="s">
        <v>401</v>
      </c>
      <c r="D216" s="6" t="n">
        <v>0.189608701102138</v>
      </c>
      <c r="E216" s="6" t="n">
        <v>0.0396010550069571</v>
      </c>
      <c r="F216" s="7" t="n">
        <v>1.68476025318857E-006</v>
      </c>
    </row>
    <row r="217" customFormat="false" ht="15" hidden="false" customHeight="true" outlineLevel="0" collapsed="false">
      <c r="A217" s="5" t="s">
        <v>88</v>
      </c>
      <c r="B217" s="5" t="s">
        <v>75</v>
      </c>
      <c r="C217" s="5" t="s">
        <v>402</v>
      </c>
      <c r="D217" s="6" t="n">
        <v>0.184619982752416</v>
      </c>
      <c r="E217" s="6" t="n">
        <v>0.0394376429567328</v>
      </c>
      <c r="F217" s="7" t="n">
        <v>2.85042207899135E-006</v>
      </c>
    </row>
    <row r="218" customFormat="false" ht="15" hidden="false" customHeight="true" outlineLevel="0" collapsed="false">
      <c r="A218" s="5" t="s">
        <v>88</v>
      </c>
      <c r="B218" s="5" t="s">
        <v>75</v>
      </c>
      <c r="C218" s="5" t="s">
        <v>403</v>
      </c>
      <c r="D218" s="6" t="n">
        <v>0.187685600373395</v>
      </c>
      <c r="E218" s="6" t="n">
        <v>0.039586079009653</v>
      </c>
      <c r="F218" s="7" t="n">
        <v>2.12453886069609E-006</v>
      </c>
    </row>
    <row r="219" customFormat="false" ht="15" hidden="false" customHeight="true" outlineLevel="0" collapsed="false">
      <c r="A219" s="5" t="s">
        <v>88</v>
      </c>
      <c r="B219" s="5" t="s">
        <v>75</v>
      </c>
      <c r="C219" s="5" t="s">
        <v>201</v>
      </c>
      <c r="D219" s="6" t="n">
        <v>0.184992315245942</v>
      </c>
      <c r="E219" s="6" t="n">
        <v>0.0397731017924748</v>
      </c>
      <c r="F219" s="7" t="n">
        <v>3.30022597325035E-006</v>
      </c>
    </row>
    <row r="220" customFormat="false" ht="15" hidden="false" customHeight="true" outlineLevel="0" collapsed="false">
      <c r="A220" s="5" t="s">
        <v>88</v>
      </c>
      <c r="B220" s="5" t="s">
        <v>75</v>
      </c>
      <c r="C220" s="5" t="s">
        <v>404</v>
      </c>
      <c r="D220" s="6" t="n">
        <v>0.187688756370567</v>
      </c>
      <c r="E220" s="6" t="n">
        <v>0.0395963428878311</v>
      </c>
      <c r="F220" s="7" t="n">
        <v>2.13662522859407E-006</v>
      </c>
    </row>
    <row r="221" customFormat="false" ht="15" hidden="false" customHeight="true" outlineLevel="0" collapsed="false">
      <c r="A221" s="5" t="s">
        <v>88</v>
      </c>
      <c r="B221" s="5" t="s">
        <v>75</v>
      </c>
      <c r="C221" s="5" t="s">
        <v>405</v>
      </c>
      <c r="D221" s="6" t="n">
        <v>0.189600625645334</v>
      </c>
      <c r="E221" s="6" t="n">
        <v>0.039561921198731</v>
      </c>
      <c r="F221" s="7" t="n">
        <v>1.64713316155756E-006</v>
      </c>
    </row>
    <row r="222" customFormat="false" ht="15" hidden="false" customHeight="true" outlineLevel="0" collapsed="false">
      <c r="A222" s="5" t="s">
        <v>88</v>
      </c>
      <c r="B222" s="5" t="s">
        <v>75</v>
      </c>
      <c r="C222" s="5" t="s">
        <v>406</v>
      </c>
      <c r="D222" s="6" t="n">
        <v>0.187966388361029</v>
      </c>
      <c r="E222" s="6" t="n">
        <v>0.0395983686249301</v>
      </c>
      <c r="F222" s="7" t="n">
        <v>2.0663813785917E-006</v>
      </c>
    </row>
    <row r="223" customFormat="false" ht="15" hidden="false" customHeight="true" outlineLevel="0" collapsed="false">
      <c r="A223" s="5" t="s">
        <v>88</v>
      </c>
      <c r="B223" s="5" t="s">
        <v>75</v>
      </c>
      <c r="C223" s="5" t="s">
        <v>407</v>
      </c>
      <c r="D223" s="6" t="n">
        <v>0.184122542271963</v>
      </c>
      <c r="E223" s="6" t="n">
        <v>0.0393712804670925</v>
      </c>
      <c r="F223" s="7" t="n">
        <v>2.9171329838304E-006</v>
      </c>
    </row>
    <row r="224" customFormat="false" ht="15" hidden="false" customHeight="true" outlineLevel="0" collapsed="false">
      <c r="A224" s="5" t="s">
        <v>88</v>
      </c>
      <c r="B224" s="5" t="s">
        <v>75</v>
      </c>
      <c r="C224" s="5" t="s">
        <v>408</v>
      </c>
      <c r="D224" s="6" t="n">
        <v>0.189883175844602</v>
      </c>
      <c r="E224" s="6" t="n">
        <v>0.039592719188596</v>
      </c>
      <c r="F224" s="7" t="n">
        <v>1.61936797468583E-006</v>
      </c>
    </row>
    <row r="225" customFormat="false" ht="15" hidden="false" customHeight="true" outlineLevel="0" collapsed="false">
      <c r="A225" s="5" t="s">
        <v>88</v>
      </c>
      <c r="B225" s="5" t="s">
        <v>75</v>
      </c>
      <c r="C225" s="5" t="s">
        <v>409</v>
      </c>
      <c r="D225" s="6" t="n">
        <v>0.186026020562247</v>
      </c>
      <c r="E225" s="6" t="n">
        <v>0.0395411220415957</v>
      </c>
      <c r="F225" s="7" t="n">
        <v>2.54337122427976E-006</v>
      </c>
    </row>
    <row r="226" customFormat="false" ht="15" hidden="false" customHeight="true" outlineLevel="0" collapsed="false">
      <c r="A226" s="5" t="s">
        <v>88</v>
      </c>
      <c r="B226" s="5" t="s">
        <v>75</v>
      </c>
      <c r="C226" s="5" t="s">
        <v>410</v>
      </c>
      <c r="D226" s="6" t="n">
        <v>0.188842366518184</v>
      </c>
      <c r="E226" s="6" t="n">
        <v>0.0395510934449535</v>
      </c>
      <c r="F226" s="7" t="n">
        <v>1.80025983489954E-006</v>
      </c>
    </row>
    <row r="227" customFormat="false" ht="15" hidden="false" customHeight="true" outlineLevel="0" collapsed="false">
      <c r="A227" s="5" t="s">
        <v>88</v>
      </c>
      <c r="B227" s="5" t="s">
        <v>75</v>
      </c>
      <c r="C227" s="5" t="s">
        <v>411</v>
      </c>
      <c r="D227" s="6" t="n">
        <v>0.188871005860615</v>
      </c>
      <c r="E227" s="6" t="n">
        <v>0.0395130771511868</v>
      </c>
      <c r="F227" s="7" t="n">
        <v>1.75328361733773E-006</v>
      </c>
    </row>
    <row r="228" customFormat="false" ht="15" hidden="false" customHeight="true" outlineLevel="0" collapsed="false">
      <c r="A228" s="5" t="s">
        <v>88</v>
      </c>
      <c r="B228" s="5" t="s">
        <v>75</v>
      </c>
      <c r="C228" s="5" t="s">
        <v>412</v>
      </c>
      <c r="D228" s="6" t="n">
        <v>0.184645831865457</v>
      </c>
      <c r="E228" s="6" t="n">
        <v>0.0395554403172879</v>
      </c>
      <c r="F228" s="7" t="n">
        <v>3.04107123289645E-006</v>
      </c>
    </row>
    <row r="229" customFormat="false" ht="15" hidden="false" customHeight="true" outlineLevel="0" collapsed="false">
      <c r="A229" s="5" t="s">
        <v>88</v>
      </c>
      <c r="B229" s="5" t="s">
        <v>75</v>
      </c>
      <c r="C229" s="5" t="s">
        <v>413</v>
      </c>
      <c r="D229" s="6" t="n">
        <v>0.187712743483387</v>
      </c>
      <c r="E229" s="6" t="n">
        <v>0.0395185903043403</v>
      </c>
      <c r="F229" s="7" t="n">
        <v>2.03430914932626E-006</v>
      </c>
    </row>
    <row r="230" customFormat="false" ht="15" hidden="false" customHeight="true" outlineLevel="0" collapsed="false">
      <c r="A230" s="5" t="s">
        <v>88</v>
      </c>
      <c r="B230" s="5" t="s">
        <v>75</v>
      </c>
      <c r="C230" s="5" t="s">
        <v>414</v>
      </c>
      <c r="D230" s="6" t="n">
        <v>0.18934116315836</v>
      </c>
      <c r="E230" s="6" t="n">
        <v>0.039627826452031</v>
      </c>
      <c r="F230" s="7" t="n">
        <v>1.77060523913641E-006</v>
      </c>
    </row>
    <row r="231" customFormat="false" ht="15" hidden="false" customHeight="true" outlineLevel="0" collapsed="false">
      <c r="A231" s="5" t="s">
        <v>88</v>
      </c>
      <c r="B231" s="5" t="s">
        <v>75</v>
      </c>
      <c r="C231" s="5" t="s">
        <v>415</v>
      </c>
      <c r="D231" s="6" t="n">
        <v>0.187470153883621</v>
      </c>
      <c r="E231" s="6" t="n">
        <v>0.0395832708188205</v>
      </c>
      <c r="F231" s="7" t="n">
        <v>2.17874867387349E-006</v>
      </c>
    </row>
    <row r="232" customFormat="false" ht="15" hidden="false" customHeight="true" outlineLevel="0" collapsed="false">
      <c r="A232" s="5" t="s">
        <v>88</v>
      </c>
      <c r="B232" s="5" t="s">
        <v>75</v>
      </c>
      <c r="C232" s="5" t="s">
        <v>416</v>
      </c>
      <c r="D232" s="6" t="n">
        <v>0.187526450415411</v>
      </c>
      <c r="E232" s="6" t="n">
        <v>0.0396118940991149</v>
      </c>
      <c r="F232" s="7" t="n">
        <v>2.20035186077788E-006</v>
      </c>
    </row>
    <row r="233" customFormat="false" ht="15" hidden="false" customHeight="true" outlineLevel="0" collapsed="false">
      <c r="A233" s="5" t="s">
        <v>88</v>
      </c>
      <c r="B233" s="5" t="s">
        <v>75</v>
      </c>
      <c r="C233" s="5" t="s">
        <v>417</v>
      </c>
      <c r="D233" s="6" t="n">
        <v>0.184417668504848</v>
      </c>
      <c r="E233" s="6" t="n">
        <v>0.0393854267278443</v>
      </c>
      <c r="F233" s="7" t="n">
        <v>2.83558479018162E-006</v>
      </c>
    </row>
    <row r="234" customFormat="false" ht="15" hidden="false" customHeight="true" outlineLevel="0" collapsed="false">
      <c r="A234" s="5" t="s">
        <v>88</v>
      </c>
      <c r="B234" s="5" t="s">
        <v>75</v>
      </c>
      <c r="C234" s="5" t="s">
        <v>418</v>
      </c>
      <c r="D234" s="6" t="n">
        <v>0.187913416535412</v>
      </c>
      <c r="E234" s="6" t="n">
        <v>0.0395861141892127</v>
      </c>
      <c r="F234" s="7" t="n">
        <v>2.06504092759135E-006</v>
      </c>
    </row>
    <row r="235" customFormat="false" ht="15" hidden="false" customHeight="true" outlineLevel="0" collapsed="false">
      <c r="A235" s="5" t="s">
        <v>88</v>
      </c>
      <c r="B235" s="5" t="s">
        <v>75</v>
      </c>
      <c r="C235" s="5" t="s">
        <v>419</v>
      </c>
      <c r="D235" s="6" t="n">
        <v>0.185955092474531</v>
      </c>
      <c r="E235" s="6" t="n">
        <v>0.0395865167970874</v>
      </c>
      <c r="F235" s="7" t="n">
        <v>2.63448887991557E-006</v>
      </c>
    </row>
    <row r="236" customFormat="false" ht="15" hidden="false" customHeight="true" outlineLevel="0" collapsed="false">
      <c r="A236" s="5" t="s">
        <v>88</v>
      </c>
      <c r="B236" s="5" t="s">
        <v>75</v>
      </c>
      <c r="C236" s="5" t="s">
        <v>420</v>
      </c>
      <c r="D236" s="6" t="n">
        <v>0.184817720821335</v>
      </c>
      <c r="E236" s="6" t="n">
        <v>0.0395980078399337</v>
      </c>
      <c r="F236" s="7" t="n">
        <v>3.05110881609551E-006</v>
      </c>
    </row>
    <row r="237" customFormat="false" ht="15" hidden="false" customHeight="true" outlineLevel="0" collapsed="false">
      <c r="A237" s="5" t="s">
        <v>88</v>
      </c>
      <c r="B237" s="5" t="s">
        <v>75</v>
      </c>
      <c r="C237" s="5" t="s">
        <v>421</v>
      </c>
      <c r="D237" s="6" t="n">
        <v>0.187217020952046</v>
      </c>
      <c r="E237" s="6" t="n">
        <v>0.0395916055916412</v>
      </c>
      <c r="F237" s="7" t="n">
        <v>2.25956474246E-006</v>
      </c>
    </row>
    <row r="238" customFormat="false" ht="15" hidden="false" customHeight="true" outlineLevel="0" collapsed="false">
      <c r="A238" s="5" t="s">
        <v>88</v>
      </c>
      <c r="B238" s="5" t="s">
        <v>75</v>
      </c>
      <c r="C238" s="5" t="s">
        <v>422</v>
      </c>
      <c r="D238" s="6" t="n">
        <v>0.187463455579778</v>
      </c>
      <c r="E238" s="6" t="n">
        <v>0.0396060503155825</v>
      </c>
      <c r="F238" s="7" t="n">
        <v>2.21004822629465E-006</v>
      </c>
    </row>
    <row r="239" customFormat="false" ht="15" hidden="false" customHeight="true" outlineLevel="0" collapsed="false">
      <c r="A239" s="5" t="s">
        <v>88</v>
      </c>
      <c r="B239" s="5" t="s">
        <v>75</v>
      </c>
      <c r="C239" s="5" t="s">
        <v>423</v>
      </c>
      <c r="D239" s="6" t="n">
        <v>0.185489603074419</v>
      </c>
      <c r="E239" s="6" t="n">
        <v>0.0395055031550262</v>
      </c>
      <c r="F239" s="7" t="n">
        <v>2.66235043237407E-006</v>
      </c>
    </row>
    <row r="240" customFormat="false" ht="15" hidden="false" customHeight="true" outlineLevel="0" collapsed="false">
      <c r="A240" s="5" t="s">
        <v>88</v>
      </c>
      <c r="B240" s="5" t="s">
        <v>75</v>
      </c>
      <c r="C240" s="5" t="s">
        <v>424</v>
      </c>
      <c r="D240" s="6" t="n">
        <v>0.182196383891923</v>
      </c>
      <c r="E240" s="6" t="n">
        <v>0.0398108366266976</v>
      </c>
      <c r="F240" s="7" t="n">
        <v>4.72701121474071E-006</v>
      </c>
    </row>
    <row r="241" customFormat="false" ht="15" hidden="false" customHeight="true" outlineLevel="0" collapsed="false">
      <c r="A241" s="5" t="s">
        <v>88</v>
      </c>
      <c r="B241" s="5" t="s">
        <v>75</v>
      </c>
      <c r="C241" s="5" t="s">
        <v>425</v>
      </c>
      <c r="D241" s="6" t="n">
        <v>0.186163322162569</v>
      </c>
      <c r="E241" s="6" t="n">
        <v>0.039601725910952</v>
      </c>
      <c r="F241" s="7" t="n">
        <v>2.59031156347326E-006</v>
      </c>
    </row>
    <row r="242" customFormat="false" ht="15" hidden="false" customHeight="true" outlineLevel="0" collapsed="false">
      <c r="A242" s="5" t="s">
        <v>88</v>
      </c>
      <c r="B242" s="5" t="s">
        <v>75</v>
      </c>
      <c r="C242" s="5" t="s">
        <v>426</v>
      </c>
      <c r="D242" s="6" t="n">
        <v>0.189048073387791</v>
      </c>
      <c r="E242" s="6" t="n">
        <v>0.0395689274836338</v>
      </c>
      <c r="F242" s="7" t="n">
        <v>1.77320377646086E-006</v>
      </c>
    </row>
    <row r="243" customFormat="false" ht="15" hidden="false" customHeight="true" outlineLevel="0" collapsed="false">
      <c r="A243" s="5" t="s">
        <v>88</v>
      </c>
      <c r="B243" s="5" t="s">
        <v>75</v>
      </c>
      <c r="C243" s="5" t="s">
        <v>427</v>
      </c>
      <c r="D243" s="6" t="n">
        <v>0.189266343041419</v>
      </c>
      <c r="E243" s="6" t="n">
        <v>0.0395314018888044</v>
      </c>
      <c r="F243" s="7" t="n">
        <v>1.68664252986821E-006</v>
      </c>
    </row>
    <row r="244" customFormat="false" ht="15" hidden="false" customHeight="true" outlineLevel="0" collapsed="false">
      <c r="A244" s="5" t="s">
        <v>88</v>
      </c>
      <c r="B244" s="5" t="s">
        <v>75</v>
      </c>
      <c r="C244" s="5" t="s">
        <v>428</v>
      </c>
      <c r="D244" s="6" t="n">
        <v>0.187494079289185</v>
      </c>
      <c r="E244" s="6" t="n">
        <v>0.0395950603334392</v>
      </c>
      <c r="F244" s="7" t="n">
        <v>2.18742475220509E-006</v>
      </c>
    </row>
    <row r="245" customFormat="false" ht="15" hidden="false" customHeight="true" outlineLevel="0" collapsed="false">
      <c r="A245" s="5" t="s">
        <v>88</v>
      </c>
      <c r="B245" s="5" t="s">
        <v>75</v>
      </c>
      <c r="C245" s="5" t="s">
        <v>429</v>
      </c>
      <c r="D245" s="6" t="n">
        <v>0.18757963178884</v>
      </c>
      <c r="E245" s="6" t="n">
        <v>0.0394945650052097</v>
      </c>
      <c r="F245" s="7" t="n">
        <v>2.03915211100254E-006</v>
      </c>
    </row>
    <row r="246" customFormat="false" ht="15" hidden="false" customHeight="true" outlineLevel="0" collapsed="false">
      <c r="A246" s="5" t="s">
        <v>88</v>
      </c>
      <c r="B246" s="5" t="s">
        <v>75</v>
      </c>
      <c r="C246" s="5" t="s">
        <v>430</v>
      </c>
      <c r="D246" s="6" t="n">
        <v>0.18713000312309</v>
      </c>
      <c r="E246" s="6" t="n">
        <v>0.039624937137403</v>
      </c>
      <c r="F246" s="7" t="n">
        <v>2.32927307826559E-006</v>
      </c>
    </row>
    <row r="247" customFormat="false" ht="15" hidden="false" customHeight="true" outlineLevel="0" collapsed="false">
      <c r="A247" s="5" t="s">
        <v>88</v>
      </c>
      <c r="B247" s="5" t="s">
        <v>75</v>
      </c>
      <c r="C247" s="5" t="s">
        <v>431</v>
      </c>
      <c r="D247" s="6" t="n">
        <v>0.186081143883027</v>
      </c>
      <c r="E247" s="6" t="n">
        <v>0.0395781782007511</v>
      </c>
      <c r="F247" s="7" t="n">
        <v>2.58118612786307E-006</v>
      </c>
    </row>
    <row r="248" customFormat="false" ht="15" hidden="false" customHeight="true" outlineLevel="0" collapsed="false">
      <c r="A248" s="5" t="s">
        <v>88</v>
      </c>
      <c r="B248" s="5" t="s">
        <v>75</v>
      </c>
      <c r="C248" s="5" t="s">
        <v>432</v>
      </c>
      <c r="D248" s="6" t="n">
        <v>0.187680755739933</v>
      </c>
      <c r="E248" s="6" t="n">
        <v>0.0396647007898743</v>
      </c>
      <c r="F248" s="7" t="n">
        <v>2.22666910714091E-006</v>
      </c>
    </row>
    <row r="249" customFormat="false" ht="15" hidden="false" customHeight="true" outlineLevel="0" collapsed="false">
      <c r="A249" s="5" t="s">
        <v>88</v>
      </c>
      <c r="B249" s="5" t="s">
        <v>75</v>
      </c>
      <c r="C249" s="5" t="s">
        <v>433</v>
      </c>
      <c r="D249" s="6" t="n">
        <v>0.190170626544846</v>
      </c>
      <c r="E249" s="6" t="n">
        <v>0.0394983506722922</v>
      </c>
      <c r="F249" s="7" t="n">
        <v>1.47460116425652E-006</v>
      </c>
    </row>
    <row r="250" customFormat="false" ht="15" hidden="false" customHeight="true" outlineLevel="0" collapsed="false">
      <c r="A250" s="5" t="s">
        <v>88</v>
      </c>
      <c r="B250" s="5" t="s">
        <v>75</v>
      </c>
      <c r="C250" s="5" t="s">
        <v>434</v>
      </c>
      <c r="D250" s="6" t="n">
        <v>0.188593231784831</v>
      </c>
      <c r="E250" s="6" t="n">
        <v>0.0395865070791486</v>
      </c>
      <c r="F250" s="7" t="n">
        <v>1.89718534384519E-006</v>
      </c>
    </row>
    <row r="251" customFormat="false" ht="15" hidden="false" customHeight="true" outlineLevel="0" collapsed="false">
      <c r="A251" s="5" t="s">
        <v>88</v>
      </c>
      <c r="B251" s="5" t="s">
        <v>75</v>
      </c>
      <c r="C251" s="5" t="s">
        <v>435</v>
      </c>
      <c r="D251" s="6" t="n">
        <v>0.187477660313564</v>
      </c>
      <c r="E251" s="6" t="n">
        <v>0.0395748033300329</v>
      </c>
      <c r="F251" s="7" t="n">
        <v>2.16585926933103E-006</v>
      </c>
    </row>
    <row r="252" customFormat="false" ht="15" hidden="false" customHeight="true" outlineLevel="0" collapsed="false">
      <c r="A252" s="5" t="s">
        <v>88</v>
      </c>
      <c r="B252" s="5" t="s">
        <v>75</v>
      </c>
      <c r="C252" s="5" t="s">
        <v>436</v>
      </c>
      <c r="D252" s="6" t="n">
        <v>0.189698452359472</v>
      </c>
      <c r="E252" s="6" t="n">
        <v>0.0395486169915196</v>
      </c>
      <c r="F252" s="7" t="n">
        <v>1.6139044804199E-006</v>
      </c>
    </row>
    <row r="253" customFormat="false" ht="15" hidden="false" customHeight="true" outlineLevel="0" collapsed="false">
      <c r="A253" s="5" t="s">
        <v>88</v>
      </c>
      <c r="B253" s="5" t="s">
        <v>75</v>
      </c>
      <c r="C253" s="5" t="s">
        <v>437</v>
      </c>
      <c r="D253" s="6" t="n">
        <v>0.190726499978729</v>
      </c>
      <c r="E253" s="6" t="n">
        <v>0.039457346584419</v>
      </c>
      <c r="F253" s="7" t="n">
        <v>1.33992494798918E-006</v>
      </c>
    </row>
    <row r="254" customFormat="false" ht="15" hidden="false" customHeight="true" outlineLevel="0" collapsed="false">
      <c r="A254" s="5" t="s">
        <v>88</v>
      </c>
      <c r="B254" s="5" t="s">
        <v>75</v>
      </c>
      <c r="C254" s="5" t="s">
        <v>438</v>
      </c>
      <c r="D254" s="6" t="n">
        <v>0.189484151767879</v>
      </c>
      <c r="E254" s="6" t="n">
        <v>0.039509141149575</v>
      </c>
      <c r="F254" s="7" t="n">
        <v>1.61899811925449E-006</v>
      </c>
    </row>
    <row r="255" customFormat="false" ht="15" hidden="false" customHeight="true" outlineLevel="0" collapsed="false">
      <c r="A255" s="5" t="s">
        <v>88</v>
      </c>
      <c r="B255" s="5" t="s">
        <v>75</v>
      </c>
      <c r="C255" s="5" t="s">
        <v>439</v>
      </c>
      <c r="D255" s="6" t="n">
        <v>0.187591597276352</v>
      </c>
      <c r="E255" s="6" t="n">
        <v>0.0395971529706117</v>
      </c>
      <c r="F255" s="7" t="n">
        <v>2.16368563707499E-006</v>
      </c>
    </row>
    <row r="256" customFormat="false" ht="15" hidden="false" customHeight="true" outlineLevel="0" collapsed="false">
      <c r="A256" s="5" t="s">
        <v>88</v>
      </c>
      <c r="B256" s="5" t="s">
        <v>75</v>
      </c>
      <c r="C256" s="5" t="s">
        <v>440</v>
      </c>
      <c r="D256" s="6" t="n">
        <v>0.186879663049095</v>
      </c>
      <c r="E256" s="6" t="n">
        <v>0.0395241574820845</v>
      </c>
      <c r="F256" s="7" t="n">
        <v>2.26475501897426E-006</v>
      </c>
    </row>
    <row r="257" customFormat="false" ht="15" hidden="false" customHeight="true" outlineLevel="0" collapsed="false">
      <c r="A257" s="5" t="s">
        <v>88</v>
      </c>
      <c r="B257" s="5" t="s">
        <v>75</v>
      </c>
      <c r="C257" s="5" t="s">
        <v>441</v>
      </c>
      <c r="D257" s="6" t="n">
        <v>0.188960230834111</v>
      </c>
      <c r="E257" s="6" t="n">
        <v>0.0396173117166297</v>
      </c>
      <c r="F257" s="7" t="n">
        <v>1.84557380808043E-006</v>
      </c>
    </row>
    <row r="258" customFormat="false" ht="15" hidden="false" customHeight="true" outlineLevel="0" collapsed="false">
      <c r="A258" s="5" t="s">
        <v>88</v>
      </c>
      <c r="B258" s="5" t="s">
        <v>75</v>
      </c>
      <c r="C258" s="5" t="s">
        <v>442</v>
      </c>
      <c r="D258" s="6" t="n">
        <v>0.188539743888717</v>
      </c>
      <c r="E258" s="6" t="n">
        <v>0.039607335159552</v>
      </c>
      <c r="F258" s="7" t="n">
        <v>1.93379267782637E-006</v>
      </c>
    </row>
    <row r="259" customFormat="false" ht="15" hidden="false" customHeight="true" outlineLevel="0" collapsed="false">
      <c r="A259" s="5" t="s">
        <v>88</v>
      </c>
      <c r="B259" s="5" t="s">
        <v>75</v>
      </c>
      <c r="C259" s="5" t="s">
        <v>443</v>
      </c>
      <c r="D259" s="6" t="n">
        <v>0.189381515567198</v>
      </c>
      <c r="E259" s="6" t="n">
        <v>0.0396457029992786</v>
      </c>
      <c r="F259" s="7" t="n">
        <v>1.78063854167171E-006</v>
      </c>
    </row>
    <row r="260" customFormat="false" ht="15" hidden="false" customHeight="true" outlineLevel="0" collapsed="false">
      <c r="A260" s="5" t="s">
        <v>88</v>
      </c>
      <c r="B260" s="5" t="s">
        <v>75</v>
      </c>
      <c r="C260" s="5" t="s">
        <v>444</v>
      </c>
      <c r="D260" s="6" t="n">
        <v>0.186952399643082</v>
      </c>
      <c r="E260" s="6" t="n">
        <v>0.039654249413144</v>
      </c>
      <c r="F260" s="7" t="n">
        <v>2.42231773973148E-006</v>
      </c>
    </row>
    <row r="261" customFormat="false" ht="15" hidden="false" customHeight="true" outlineLevel="0" collapsed="false">
      <c r="A261" s="5" t="s">
        <v>88</v>
      </c>
      <c r="B261" s="5" t="s">
        <v>75</v>
      </c>
      <c r="C261" s="5" t="s">
        <v>445</v>
      </c>
      <c r="D261" s="6" t="n">
        <v>0.187950757615329</v>
      </c>
      <c r="E261" s="6" t="n">
        <v>0.039619144124791</v>
      </c>
      <c r="F261" s="7" t="n">
        <v>2.09603174525876E-006</v>
      </c>
    </row>
    <row r="262" customFormat="false" ht="15" hidden="false" customHeight="true" outlineLevel="0" collapsed="false">
      <c r="A262" s="5" t="s">
        <v>88</v>
      </c>
      <c r="B262" s="5" t="s">
        <v>75</v>
      </c>
      <c r="C262" s="5" t="s">
        <v>446</v>
      </c>
      <c r="D262" s="6" t="n">
        <v>0.187159038384624</v>
      </c>
      <c r="E262" s="6" t="n">
        <v>0.0396230175205052</v>
      </c>
      <c r="F262" s="7" t="n">
        <v>2.31828158612715E-006</v>
      </c>
    </row>
    <row r="263" customFormat="false" ht="15" hidden="false" customHeight="true" outlineLevel="0" collapsed="false">
      <c r="A263" s="5" t="s">
        <v>88</v>
      </c>
      <c r="B263" s="5" t="s">
        <v>75</v>
      </c>
      <c r="C263" s="5" t="s">
        <v>447</v>
      </c>
      <c r="D263" s="6" t="n">
        <v>0.190856056149404</v>
      </c>
      <c r="E263" s="6" t="n">
        <v>0.0395494554713486</v>
      </c>
      <c r="F263" s="7" t="n">
        <v>1.39472577687329E-006</v>
      </c>
    </row>
    <row r="264" customFormat="false" ht="15" hidden="false" customHeight="true" outlineLevel="0" collapsed="false">
      <c r="A264" s="5" t="s">
        <v>88</v>
      </c>
      <c r="B264" s="5" t="s">
        <v>75</v>
      </c>
      <c r="C264" s="5" t="s">
        <v>448</v>
      </c>
      <c r="D264" s="6" t="n">
        <v>0.191201290302864</v>
      </c>
      <c r="E264" s="6" t="n">
        <v>0.0394135300290625</v>
      </c>
      <c r="F264" s="7" t="n">
        <v>1.22742262790834E-006</v>
      </c>
    </row>
    <row r="265" customFormat="false" ht="15" hidden="false" customHeight="true" outlineLevel="0" collapsed="false">
      <c r="A265" s="5" t="s">
        <v>88</v>
      </c>
      <c r="B265" s="5" t="s">
        <v>75</v>
      </c>
      <c r="C265" s="5" t="s">
        <v>449</v>
      </c>
      <c r="D265" s="6" t="n">
        <v>0.18419703786656</v>
      </c>
      <c r="E265" s="6" t="n">
        <v>0.0395479951901035</v>
      </c>
      <c r="F265" s="7" t="n">
        <v>3.19984000304075E-006</v>
      </c>
    </row>
    <row r="266" customFormat="false" ht="15" hidden="false" customHeight="true" outlineLevel="0" collapsed="false">
      <c r="A266" s="5" t="s">
        <v>88</v>
      </c>
      <c r="B266" s="5" t="s">
        <v>75</v>
      </c>
      <c r="C266" s="5" t="s">
        <v>450</v>
      </c>
      <c r="D266" s="6" t="n">
        <v>0.185511014661606</v>
      </c>
      <c r="E266" s="6" t="n">
        <v>0.0395228322458405</v>
      </c>
      <c r="F266" s="7" t="n">
        <v>2.68217893429277E-006</v>
      </c>
    </row>
    <row r="267" customFormat="false" ht="15" hidden="false" customHeight="true" outlineLevel="0" collapsed="false">
      <c r="A267" s="5" t="s">
        <v>88</v>
      </c>
      <c r="B267" s="5" t="s">
        <v>75</v>
      </c>
      <c r="C267" s="5" t="s">
        <v>451</v>
      </c>
      <c r="D267" s="6" t="n">
        <v>0.185007445344106</v>
      </c>
      <c r="E267" s="6" t="n">
        <v>0.0394162965156243</v>
      </c>
      <c r="F267" s="7" t="n">
        <v>2.68334909522981E-006</v>
      </c>
    </row>
    <row r="268" customFormat="false" ht="15" hidden="false" customHeight="true" outlineLevel="0" collapsed="false">
      <c r="A268" s="5" t="s">
        <v>88</v>
      </c>
      <c r="B268" s="5" t="s">
        <v>75</v>
      </c>
      <c r="C268" s="5" t="s">
        <v>452</v>
      </c>
      <c r="D268" s="6" t="n">
        <v>0.188262505060512</v>
      </c>
      <c r="E268" s="6" t="n">
        <v>0.0395862788812892</v>
      </c>
      <c r="F268" s="7" t="n">
        <v>1.97709553487385E-006</v>
      </c>
    </row>
    <row r="269" customFormat="false" ht="15" hidden="false" customHeight="true" outlineLevel="0" collapsed="false">
      <c r="A269" s="5" t="s">
        <v>88</v>
      </c>
      <c r="B269" s="5" t="s">
        <v>75</v>
      </c>
      <c r="C269" s="5" t="s">
        <v>453</v>
      </c>
      <c r="D269" s="6" t="n">
        <v>0.18748948042086</v>
      </c>
      <c r="E269" s="6" t="n">
        <v>0.0396278942489993</v>
      </c>
      <c r="F269" s="7" t="n">
        <v>2.23141347432528E-006</v>
      </c>
    </row>
    <row r="270" customFormat="false" ht="15" hidden="false" customHeight="true" outlineLevel="0" collapsed="false">
      <c r="A270" s="5" t="s">
        <v>88</v>
      </c>
      <c r="B270" s="5" t="s">
        <v>75</v>
      </c>
      <c r="C270" s="5" t="s">
        <v>454</v>
      </c>
      <c r="D270" s="6" t="n">
        <v>0.188296197830291</v>
      </c>
      <c r="E270" s="6" t="n">
        <v>0.0395698668434859</v>
      </c>
      <c r="F270" s="7" t="n">
        <v>1.94963994180571E-006</v>
      </c>
    </row>
    <row r="271" customFormat="false" ht="15" hidden="false" customHeight="true" outlineLevel="0" collapsed="false">
      <c r="A271" s="5" t="s">
        <v>88</v>
      </c>
      <c r="B271" s="5" t="s">
        <v>75</v>
      </c>
      <c r="C271" s="5" t="s">
        <v>455</v>
      </c>
      <c r="D271" s="6" t="n">
        <v>0.187401379738879</v>
      </c>
      <c r="E271" s="6" t="n">
        <v>0.0395801307611239</v>
      </c>
      <c r="F271" s="7" t="n">
        <v>2.1934288072745E-006</v>
      </c>
    </row>
    <row r="272" customFormat="false" ht="15" hidden="false" customHeight="true" outlineLevel="0" collapsed="false">
      <c r="A272" s="5" t="s">
        <v>88</v>
      </c>
      <c r="B272" s="5" t="s">
        <v>75</v>
      </c>
      <c r="C272" s="5" t="s">
        <v>456</v>
      </c>
      <c r="D272" s="6" t="n">
        <v>0.186198223774816</v>
      </c>
      <c r="E272" s="6" t="n">
        <v>0.0395476642089994</v>
      </c>
      <c r="F272" s="7" t="n">
        <v>2.4991658817313E-006</v>
      </c>
    </row>
    <row r="273" customFormat="false" ht="15" hidden="false" customHeight="true" outlineLevel="0" collapsed="false">
      <c r="A273" s="5" t="s">
        <v>88</v>
      </c>
      <c r="B273" s="5" t="s">
        <v>75</v>
      </c>
      <c r="C273" s="5" t="s">
        <v>457</v>
      </c>
      <c r="D273" s="6" t="n">
        <v>0.187226349483736</v>
      </c>
      <c r="E273" s="6" t="n">
        <v>0.0396036629002065</v>
      </c>
      <c r="F273" s="7" t="n">
        <v>2.27300127934757E-006</v>
      </c>
    </row>
    <row r="274" customFormat="false" ht="15" hidden="false" customHeight="true" outlineLevel="0" collapsed="false">
      <c r="A274" s="5" t="s">
        <v>88</v>
      </c>
      <c r="B274" s="5" t="s">
        <v>75</v>
      </c>
      <c r="C274" s="5" t="s">
        <v>458</v>
      </c>
      <c r="D274" s="6" t="n">
        <v>0.188091993015816</v>
      </c>
      <c r="E274" s="6" t="n">
        <v>0.039592356676809</v>
      </c>
      <c r="F274" s="7" t="n">
        <v>2.02698895445133E-006</v>
      </c>
    </row>
    <row r="275" customFormat="false" ht="15" hidden="false" customHeight="true" outlineLevel="0" collapsed="false">
      <c r="A275" s="5" t="s">
        <v>88</v>
      </c>
      <c r="B275" s="5" t="s">
        <v>75</v>
      </c>
      <c r="C275" s="5" t="s">
        <v>459</v>
      </c>
      <c r="D275" s="6" t="n">
        <v>0.187113440096791</v>
      </c>
      <c r="E275" s="6" t="n">
        <v>0.0395985247240623</v>
      </c>
      <c r="F275" s="7" t="n">
        <v>2.2981782919922E-006</v>
      </c>
    </row>
    <row r="276" customFormat="false" ht="15" hidden="false" customHeight="true" outlineLevel="0" collapsed="false">
      <c r="A276" s="5" t="s">
        <v>88</v>
      </c>
      <c r="B276" s="5" t="s">
        <v>75</v>
      </c>
      <c r="C276" s="5" t="s">
        <v>460</v>
      </c>
      <c r="D276" s="6" t="n">
        <v>0.186355023692139</v>
      </c>
      <c r="E276" s="6" t="n">
        <v>0.0395905261740059</v>
      </c>
      <c r="F276" s="7" t="n">
        <v>2.51313662628327E-006</v>
      </c>
    </row>
    <row r="277" customFormat="false" ht="15" hidden="false" customHeight="true" outlineLevel="0" collapsed="false">
      <c r="A277" s="5" t="s">
        <v>88</v>
      </c>
      <c r="B277" s="5" t="s">
        <v>75</v>
      </c>
      <c r="C277" s="5" t="s">
        <v>461</v>
      </c>
      <c r="D277" s="6" t="n">
        <v>0.189070494137558</v>
      </c>
      <c r="E277" s="6" t="n">
        <v>0.0396524193716975</v>
      </c>
      <c r="F277" s="7" t="n">
        <v>1.85883206916366E-006</v>
      </c>
    </row>
    <row r="278" customFormat="false" ht="15" hidden="false" customHeight="true" outlineLevel="0" collapsed="false">
      <c r="A278" s="5" t="s">
        <v>88</v>
      </c>
      <c r="B278" s="5" t="s">
        <v>75</v>
      </c>
      <c r="C278" s="5" t="s">
        <v>462</v>
      </c>
      <c r="D278" s="6" t="n">
        <v>0.188718421472732</v>
      </c>
      <c r="E278" s="6" t="n">
        <v>0.0395623026357846</v>
      </c>
      <c r="F278" s="7" t="n">
        <v>1.84081772719036E-006</v>
      </c>
    </row>
    <row r="279" customFormat="false" ht="15" hidden="false" customHeight="true" outlineLevel="0" collapsed="false">
      <c r="A279" s="5" t="s">
        <v>88</v>
      </c>
      <c r="B279" s="5" t="s">
        <v>75</v>
      </c>
      <c r="C279" s="5" t="s">
        <v>463</v>
      </c>
      <c r="D279" s="6" t="n">
        <v>0.186450705511168</v>
      </c>
      <c r="E279" s="6" t="n">
        <v>0.0395784247136704</v>
      </c>
      <c r="F279" s="7" t="n">
        <v>2.46603692019698E-006</v>
      </c>
    </row>
    <row r="280" customFormat="false" ht="15" hidden="false" customHeight="true" outlineLevel="0" collapsed="false">
      <c r="A280" s="5" t="s">
        <v>88</v>
      </c>
      <c r="B280" s="5" t="s">
        <v>75</v>
      </c>
      <c r="C280" s="5" t="s">
        <v>464</v>
      </c>
      <c r="D280" s="6" t="n">
        <v>0.19250938359687</v>
      </c>
      <c r="E280" s="6" t="n">
        <v>0.0397995006206834</v>
      </c>
      <c r="F280" s="7" t="n">
        <v>1.31826768390587E-006</v>
      </c>
    </row>
    <row r="281" customFormat="false" ht="15" hidden="false" customHeight="true" outlineLevel="0" collapsed="false">
      <c r="A281" s="5" t="s">
        <v>88</v>
      </c>
      <c r="B281" s="5" t="s">
        <v>75</v>
      </c>
      <c r="C281" s="5" t="s">
        <v>465</v>
      </c>
      <c r="D281" s="6" t="n">
        <v>0.184303290484519</v>
      </c>
      <c r="E281" s="6" t="n">
        <v>0.0394462508117414</v>
      </c>
      <c r="F281" s="7" t="n">
        <v>2.97897976538124E-006</v>
      </c>
    </row>
    <row r="282" customFormat="false" ht="15" hidden="false" customHeight="true" outlineLevel="0" collapsed="false">
      <c r="A282" s="5" t="s">
        <v>88</v>
      </c>
      <c r="B282" s="5" t="s">
        <v>75</v>
      </c>
      <c r="C282" s="5" t="s">
        <v>466</v>
      </c>
      <c r="D282" s="6" t="n">
        <v>0.188320432114954</v>
      </c>
      <c r="E282" s="6" t="n">
        <v>0.0396071250272212</v>
      </c>
      <c r="F282" s="7" t="n">
        <v>1.98730514481103E-006</v>
      </c>
    </row>
    <row r="283" customFormat="false" ht="15" hidden="false" customHeight="true" outlineLevel="0" collapsed="false">
      <c r="A283" s="5" t="s">
        <v>88</v>
      </c>
      <c r="B283" s="5" t="s">
        <v>75</v>
      </c>
      <c r="C283" s="5" t="s">
        <v>467</v>
      </c>
      <c r="D283" s="6" t="n">
        <v>0.187384302468724</v>
      </c>
      <c r="E283" s="6" t="n">
        <v>0.0395821408381971</v>
      </c>
      <c r="F283" s="7" t="n">
        <v>2.20070627494978E-006</v>
      </c>
    </row>
    <row r="284" customFormat="false" ht="15" hidden="false" customHeight="true" outlineLevel="0" collapsed="false">
      <c r="A284" s="5" t="s">
        <v>88</v>
      </c>
      <c r="B284" s="5" t="s">
        <v>75</v>
      </c>
      <c r="C284" s="5" t="s">
        <v>468</v>
      </c>
      <c r="D284" s="6" t="n">
        <v>0.187389762323021</v>
      </c>
      <c r="E284" s="6" t="n">
        <v>0.0396087601570016</v>
      </c>
      <c r="F284" s="7" t="n">
        <v>2.23396568857492E-006</v>
      </c>
    </row>
    <row r="285" customFormat="false" ht="15" hidden="false" customHeight="true" outlineLevel="0" collapsed="false">
      <c r="A285" s="5" t="s">
        <v>88</v>
      </c>
      <c r="B285" s="5" t="s">
        <v>75</v>
      </c>
      <c r="C285" s="5" t="s">
        <v>469</v>
      </c>
      <c r="D285" s="6" t="n">
        <v>0.186897147147211</v>
      </c>
      <c r="E285" s="6" t="n">
        <v>0.0396004082661328</v>
      </c>
      <c r="F285" s="7" t="n">
        <v>2.3633642258056E-006</v>
      </c>
    </row>
    <row r="286" customFormat="false" ht="15" hidden="false" customHeight="true" outlineLevel="0" collapsed="false">
      <c r="A286" s="5" t="s">
        <v>88</v>
      </c>
      <c r="B286" s="5" t="s">
        <v>75</v>
      </c>
      <c r="C286" s="5" t="s">
        <v>470</v>
      </c>
      <c r="D286" s="6" t="n">
        <v>0.186726287005116</v>
      </c>
      <c r="E286" s="6" t="n">
        <v>0.0396129719959828</v>
      </c>
      <c r="F286" s="7" t="n">
        <v>2.43179717832833E-006</v>
      </c>
    </row>
    <row r="287" customFormat="false" ht="15" hidden="false" customHeight="true" outlineLevel="0" collapsed="false">
      <c r="A287" s="5" t="s">
        <v>88</v>
      </c>
      <c r="B287" s="5" t="s">
        <v>75</v>
      </c>
      <c r="C287" s="5" t="s">
        <v>471</v>
      </c>
      <c r="D287" s="6" t="n">
        <v>0.185700578388848</v>
      </c>
      <c r="E287" s="6" t="n">
        <v>0.0395440450213217</v>
      </c>
      <c r="F287" s="7" t="n">
        <v>2.65248328458934E-006</v>
      </c>
    </row>
    <row r="288" customFormat="false" ht="15" hidden="false" customHeight="true" outlineLevel="0" collapsed="false">
      <c r="A288" s="5" t="s">
        <v>88</v>
      </c>
      <c r="B288" s="5" t="s">
        <v>75</v>
      </c>
      <c r="C288" s="5" t="s">
        <v>472</v>
      </c>
      <c r="D288" s="6" t="n">
        <v>0.187664760261193</v>
      </c>
      <c r="E288" s="6" t="n">
        <v>0.0396371403795594</v>
      </c>
      <c r="F288" s="7" t="n">
        <v>2.19521514735202E-006</v>
      </c>
    </row>
    <row r="289" customFormat="false" ht="15" hidden="false" customHeight="true" outlineLevel="0" collapsed="false">
      <c r="A289" s="5" t="s">
        <v>88</v>
      </c>
      <c r="B289" s="5" t="s">
        <v>75</v>
      </c>
      <c r="C289" s="5" t="s">
        <v>473</v>
      </c>
      <c r="D289" s="6" t="n">
        <v>0.187428838212435</v>
      </c>
      <c r="E289" s="6" t="n">
        <v>0.0396181155897714</v>
      </c>
      <c r="F289" s="7" t="n">
        <v>2.23540651032485E-006</v>
      </c>
    </row>
    <row r="290" customFormat="false" ht="15" hidden="false" customHeight="true" outlineLevel="0" collapsed="false">
      <c r="A290" s="5" t="s">
        <v>88</v>
      </c>
      <c r="B290" s="5" t="s">
        <v>75</v>
      </c>
      <c r="C290" s="5" t="s">
        <v>474</v>
      </c>
      <c r="D290" s="6" t="n">
        <v>0.186930781093197</v>
      </c>
      <c r="E290" s="6" t="n">
        <v>0.0395846743223685</v>
      </c>
      <c r="F290" s="7" t="n">
        <v>2.33190233577068E-006</v>
      </c>
    </row>
    <row r="291" customFormat="false" ht="15" hidden="false" customHeight="true" outlineLevel="0" collapsed="false">
      <c r="A291" s="5" t="s">
        <v>88</v>
      </c>
      <c r="B291" s="5" t="s">
        <v>75</v>
      </c>
      <c r="C291" s="5" t="s">
        <v>475</v>
      </c>
      <c r="D291" s="6" t="n">
        <v>0.187064922793901</v>
      </c>
      <c r="E291" s="6" t="n">
        <v>0.0397801232288274</v>
      </c>
      <c r="F291" s="7" t="n">
        <v>2.57030249868658E-006</v>
      </c>
    </row>
    <row r="292" customFormat="false" ht="15" hidden="false" customHeight="true" outlineLevel="0" collapsed="false">
      <c r="A292" s="5" t="s">
        <v>88</v>
      </c>
      <c r="B292" s="5" t="s">
        <v>75</v>
      </c>
      <c r="C292" s="5" t="s">
        <v>476</v>
      </c>
      <c r="D292" s="6" t="n">
        <v>0.18814596352996</v>
      </c>
      <c r="E292" s="6" t="n">
        <v>0.039543229108137</v>
      </c>
      <c r="F292" s="7" t="n">
        <v>1.95538145387198E-006</v>
      </c>
    </row>
    <row r="293" customFormat="false" ht="15" hidden="false" customHeight="true" outlineLevel="0" collapsed="false">
      <c r="A293" s="5" t="s">
        <v>88</v>
      </c>
      <c r="B293" s="5" t="s">
        <v>75</v>
      </c>
      <c r="C293" s="5" t="s">
        <v>477</v>
      </c>
      <c r="D293" s="6" t="n">
        <v>0.186393283676601</v>
      </c>
      <c r="E293" s="6" t="n">
        <v>0.0394982561042115</v>
      </c>
      <c r="F293" s="7" t="n">
        <v>2.36976942043894E-006</v>
      </c>
    </row>
    <row r="294" customFormat="false" ht="15" hidden="false" customHeight="true" outlineLevel="0" collapsed="false">
      <c r="A294" s="5" t="s">
        <v>88</v>
      </c>
      <c r="B294" s="5" t="s">
        <v>75</v>
      </c>
      <c r="C294" s="5" t="s">
        <v>478</v>
      </c>
      <c r="D294" s="6" t="n">
        <v>0.187398463810016</v>
      </c>
      <c r="E294" s="6" t="n">
        <v>0.0395796314905796</v>
      </c>
      <c r="F294" s="7" t="n">
        <v>2.19357963865547E-006</v>
      </c>
    </row>
    <row r="295" customFormat="false" ht="15" hidden="false" customHeight="true" outlineLevel="0" collapsed="false">
      <c r="A295" s="5" t="s">
        <v>88</v>
      </c>
      <c r="B295" s="5" t="s">
        <v>75</v>
      </c>
      <c r="C295" s="5" t="s">
        <v>479</v>
      </c>
      <c r="D295" s="6" t="n">
        <v>0.187992268469657</v>
      </c>
      <c r="E295" s="6" t="n">
        <v>0.039516728168556</v>
      </c>
      <c r="F295" s="7" t="n">
        <v>1.96215771403828E-006</v>
      </c>
    </row>
    <row r="296" customFormat="false" ht="15" hidden="false" customHeight="true" outlineLevel="0" collapsed="false">
      <c r="A296" s="5" t="s">
        <v>88</v>
      </c>
      <c r="B296" s="5" t="s">
        <v>75</v>
      </c>
      <c r="C296" s="5" t="s">
        <v>480</v>
      </c>
      <c r="D296" s="6" t="n">
        <v>0.186757613965067</v>
      </c>
      <c r="E296" s="6" t="n">
        <v>0.039604042459407</v>
      </c>
      <c r="F296" s="7" t="n">
        <v>2.40975838047992E-006</v>
      </c>
    </row>
    <row r="297" customFormat="false" ht="15" hidden="false" customHeight="true" outlineLevel="0" collapsed="false">
      <c r="A297" s="5" t="s">
        <v>88</v>
      </c>
      <c r="B297" s="5" t="s">
        <v>75</v>
      </c>
      <c r="C297" s="5" t="s">
        <v>481</v>
      </c>
      <c r="D297" s="6" t="n">
        <v>0.188984137494655</v>
      </c>
      <c r="E297" s="6" t="n">
        <v>0.0395483501441057</v>
      </c>
      <c r="F297" s="7" t="n">
        <v>1.76555669422239E-006</v>
      </c>
    </row>
    <row r="298" customFormat="false" ht="15" hidden="false" customHeight="true" outlineLevel="0" collapsed="false">
      <c r="A298" s="5" t="s">
        <v>88</v>
      </c>
      <c r="B298" s="5" t="s">
        <v>75</v>
      </c>
      <c r="C298" s="5" t="s">
        <v>482</v>
      </c>
      <c r="D298" s="6" t="n">
        <v>0.187650412725874</v>
      </c>
      <c r="E298" s="6" t="n">
        <v>0.0396076794620605</v>
      </c>
      <c r="F298" s="7" t="n">
        <v>2.16127612611991E-006</v>
      </c>
    </row>
    <row r="299" customFormat="false" ht="15" hidden="false" customHeight="true" outlineLevel="0" collapsed="false">
      <c r="A299" s="5" t="s">
        <v>88</v>
      </c>
      <c r="B299" s="5" t="s">
        <v>75</v>
      </c>
      <c r="C299" s="5" t="s">
        <v>483</v>
      </c>
      <c r="D299" s="6" t="n">
        <v>0.187344541758999</v>
      </c>
      <c r="E299" s="6" t="n">
        <v>0.0395809576533853</v>
      </c>
      <c r="F299" s="7" t="n">
        <v>2.21008817839439E-006</v>
      </c>
    </row>
    <row r="300" customFormat="false" ht="15" hidden="false" customHeight="true" outlineLevel="0" collapsed="false">
      <c r="A300" s="5" t="s">
        <v>88</v>
      </c>
      <c r="B300" s="5" t="s">
        <v>75</v>
      </c>
      <c r="C300" s="5" t="s">
        <v>484</v>
      </c>
      <c r="D300" s="6" t="n">
        <v>0.186649759546833</v>
      </c>
      <c r="E300" s="6" t="n">
        <v>0.0395873665023873</v>
      </c>
      <c r="F300" s="7" t="n">
        <v>2.41850933319534E-006</v>
      </c>
    </row>
    <row r="301" customFormat="false" ht="15" hidden="false" customHeight="true" outlineLevel="0" collapsed="false">
      <c r="A301" s="5" t="s">
        <v>88</v>
      </c>
      <c r="B301" s="5" t="s">
        <v>75</v>
      </c>
      <c r="C301" s="5" t="s">
        <v>485</v>
      </c>
      <c r="D301" s="6" t="n">
        <v>0.187804457988208</v>
      </c>
      <c r="E301" s="6" t="n">
        <v>0.0396119191366794</v>
      </c>
      <c r="F301" s="7" t="n">
        <v>2.12550696354556E-006</v>
      </c>
    </row>
    <row r="302" customFormat="false" ht="15" hidden="false" customHeight="true" outlineLevel="0" collapsed="false">
      <c r="A302" s="5" t="s">
        <v>88</v>
      </c>
      <c r="B302" s="5" t="s">
        <v>75</v>
      </c>
      <c r="C302" s="5" t="s">
        <v>486</v>
      </c>
      <c r="D302" s="6" t="n">
        <v>0.183960873582666</v>
      </c>
      <c r="E302" s="6" t="n">
        <v>0.0395683701472947</v>
      </c>
      <c r="F302" s="7" t="n">
        <v>3.33241017058051E-006</v>
      </c>
    </row>
    <row r="303" customFormat="false" ht="15" hidden="false" customHeight="true" outlineLevel="0" collapsed="false">
      <c r="A303" s="5" t="s">
        <v>88</v>
      </c>
      <c r="B303" s="5" t="s">
        <v>75</v>
      </c>
      <c r="C303" s="5" t="s">
        <v>200</v>
      </c>
      <c r="D303" s="6" t="n">
        <v>0.169280957795439</v>
      </c>
      <c r="E303" s="6" t="n">
        <v>0.0402658383478342</v>
      </c>
      <c r="F303" s="7" t="n">
        <v>2.62141837049084E-005</v>
      </c>
    </row>
    <row r="304" customFormat="false" ht="15" hidden="false" customHeight="true" outlineLevel="0" collapsed="false">
      <c r="A304" s="5" t="s">
        <v>88</v>
      </c>
      <c r="B304" s="5" t="s">
        <v>75</v>
      </c>
      <c r="C304" s="5" t="s">
        <v>487</v>
      </c>
      <c r="D304" s="6" t="n">
        <v>0.18701724828859</v>
      </c>
      <c r="E304" s="6" t="n">
        <v>0.0395860607903643</v>
      </c>
      <c r="F304" s="7" t="n">
        <v>2.30885764267238E-006</v>
      </c>
    </row>
    <row r="305" customFormat="false" ht="15" hidden="false" customHeight="true" outlineLevel="0" collapsed="false">
      <c r="A305" s="5" t="s">
        <v>88</v>
      </c>
      <c r="B305" s="5" t="s">
        <v>75</v>
      </c>
      <c r="C305" s="5" t="s">
        <v>488</v>
      </c>
      <c r="D305" s="6" t="n">
        <v>0.19829233930521</v>
      </c>
      <c r="E305" s="6" t="n">
        <v>0.0394515756847496</v>
      </c>
      <c r="F305" s="7" t="n">
        <v>5.00239304465595E-007</v>
      </c>
    </row>
    <row r="306" customFormat="false" ht="15" hidden="false" customHeight="true" outlineLevel="0" collapsed="false">
      <c r="A306" s="5" t="s">
        <v>88</v>
      </c>
      <c r="B306" s="5" t="s">
        <v>75</v>
      </c>
      <c r="C306" s="5" t="s">
        <v>489</v>
      </c>
      <c r="D306" s="6" t="n">
        <v>0.187757762118068</v>
      </c>
      <c r="E306" s="6" t="n">
        <v>0.0395906346566893</v>
      </c>
      <c r="F306" s="7" t="n">
        <v>2.11118491483946E-006</v>
      </c>
    </row>
    <row r="307" customFormat="false" ht="15" hidden="false" customHeight="true" outlineLevel="0" collapsed="false">
      <c r="A307" s="5" t="s">
        <v>88</v>
      </c>
      <c r="B307" s="5" t="s">
        <v>75</v>
      </c>
      <c r="C307" s="5" t="s">
        <v>490</v>
      </c>
      <c r="D307" s="6" t="n">
        <v>0.188988612135658</v>
      </c>
      <c r="E307" s="6" t="n">
        <v>0.0395391107788603</v>
      </c>
      <c r="F307" s="7" t="n">
        <v>1.75479142557859E-006</v>
      </c>
    </row>
    <row r="308" customFormat="false" ht="15" hidden="false" customHeight="true" outlineLevel="0" collapsed="false">
      <c r="A308" s="5" t="s">
        <v>88</v>
      </c>
      <c r="B308" s="5" t="s">
        <v>75</v>
      </c>
      <c r="C308" s="5" t="s">
        <v>491</v>
      </c>
      <c r="D308" s="6" t="n">
        <v>0.187093251400083</v>
      </c>
      <c r="E308" s="6" t="n">
        <v>0.03960472296677</v>
      </c>
      <c r="F308" s="7" t="n">
        <v>2.31234900245558E-006</v>
      </c>
    </row>
    <row r="309" customFormat="false" ht="15" hidden="false" customHeight="true" outlineLevel="0" collapsed="false">
      <c r="A309" s="5" t="s">
        <v>88</v>
      </c>
      <c r="B309" s="5" t="s">
        <v>75</v>
      </c>
      <c r="C309" s="5" t="s">
        <v>492</v>
      </c>
      <c r="D309" s="6" t="n">
        <v>0.188572856373366</v>
      </c>
      <c r="E309" s="6" t="n">
        <v>0.0395705734699065</v>
      </c>
      <c r="F309" s="7" t="n">
        <v>1.8840269884569E-006</v>
      </c>
    </row>
    <row r="310" customFormat="false" ht="15" hidden="false" customHeight="true" outlineLevel="0" collapsed="false">
      <c r="A310" s="5" t="s">
        <v>88</v>
      </c>
      <c r="B310" s="5" t="s">
        <v>75</v>
      </c>
      <c r="C310" s="5" t="s">
        <v>493</v>
      </c>
      <c r="D310" s="6" t="n">
        <v>0.187777368512415</v>
      </c>
      <c r="E310" s="6" t="n">
        <v>0.0395893307196395</v>
      </c>
      <c r="F310" s="7" t="n">
        <v>2.10440436234486E-006</v>
      </c>
    </row>
    <row r="311" customFormat="false" ht="15" hidden="false" customHeight="true" outlineLevel="0" collapsed="false">
      <c r="A311" s="5" t="s">
        <v>88</v>
      </c>
      <c r="B311" s="5" t="s">
        <v>75</v>
      </c>
      <c r="C311" s="5" t="s">
        <v>494</v>
      </c>
      <c r="D311" s="6" t="n">
        <v>0.187323428440464</v>
      </c>
      <c r="E311" s="6" t="n">
        <v>0.0396040042939456</v>
      </c>
      <c r="F311" s="7" t="n">
        <v>2.24617925330163E-006</v>
      </c>
    </row>
    <row r="312" customFormat="false" ht="15" hidden="false" customHeight="true" outlineLevel="0" collapsed="false">
      <c r="A312" s="5" t="s">
        <v>88</v>
      </c>
      <c r="B312" s="5" t="s">
        <v>75</v>
      </c>
      <c r="C312" s="5" t="s">
        <v>495</v>
      </c>
      <c r="D312" s="6" t="n">
        <v>0.18567535334504</v>
      </c>
      <c r="E312" s="6" t="n">
        <v>0.0395972260541667</v>
      </c>
      <c r="F312" s="7" t="n">
        <v>2.74409249950701E-006</v>
      </c>
    </row>
    <row r="313" customFormat="false" ht="15" hidden="false" customHeight="true" outlineLevel="0" collapsed="false">
      <c r="A313" s="5" t="s">
        <v>88</v>
      </c>
      <c r="B313" s="5" t="s">
        <v>75</v>
      </c>
      <c r="C313" s="5" t="s">
        <v>496</v>
      </c>
      <c r="D313" s="6" t="n">
        <v>0.188045541758775</v>
      </c>
      <c r="E313" s="6" t="n">
        <v>0.039622662591419</v>
      </c>
      <c r="F313" s="7" t="n">
        <v>2.07572262343952E-006</v>
      </c>
    </row>
    <row r="314" customFormat="false" ht="15" hidden="false" customHeight="true" outlineLevel="0" collapsed="false">
      <c r="A314" s="5" t="s">
        <v>88</v>
      </c>
      <c r="B314" s="5" t="s">
        <v>75</v>
      </c>
      <c r="C314" s="5" t="s">
        <v>497</v>
      </c>
      <c r="D314" s="6" t="n">
        <v>0.18735938905971</v>
      </c>
      <c r="E314" s="6" t="n">
        <v>0.039608419596029</v>
      </c>
      <c r="F314" s="7" t="n">
        <v>2.24197165159355E-006</v>
      </c>
    </row>
    <row r="315" customFormat="false" ht="15" hidden="false" customHeight="true" outlineLevel="0" collapsed="false">
      <c r="A315" s="5" t="s">
        <v>88</v>
      </c>
      <c r="B315" s="5" t="s">
        <v>75</v>
      </c>
      <c r="C315" s="5" t="s">
        <v>498</v>
      </c>
      <c r="D315" s="6" t="n">
        <v>0.186277600323124</v>
      </c>
      <c r="E315" s="6" t="n">
        <v>0.0395338000880085</v>
      </c>
      <c r="F315" s="7" t="n">
        <v>2.45469988822418E-006</v>
      </c>
    </row>
    <row r="316" customFormat="false" ht="15" hidden="false" customHeight="true" outlineLevel="0" collapsed="false">
      <c r="A316" s="5" t="s">
        <v>88</v>
      </c>
      <c r="B316" s="5" t="s">
        <v>75</v>
      </c>
      <c r="C316" s="5" t="s">
        <v>499</v>
      </c>
      <c r="D316" s="6" t="n">
        <v>0.188773327939946</v>
      </c>
      <c r="E316" s="6" t="n">
        <v>0.0395730712871683</v>
      </c>
      <c r="F316" s="7" t="n">
        <v>1.84000079404634E-006</v>
      </c>
    </row>
    <row r="317" customFormat="false" ht="15" hidden="false" customHeight="true" outlineLevel="0" collapsed="false">
      <c r="A317" s="5" t="s">
        <v>88</v>
      </c>
      <c r="B317" s="5" t="s">
        <v>75</v>
      </c>
      <c r="C317" s="5" t="s">
        <v>500</v>
      </c>
      <c r="D317" s="6" t="n">
        <v>0.187906904561733</v>
      </c>
      <c r="E317" s="6" t="n">
        <v>0.0395897511865891</v>
      </c>
      <c r="F317" s="7" t="n">
        <v>2.07117891688231E-006</v>
      </c>
    </row>
    <row r="318" customFormat="false" ht="15" hidden="false" customHeight="true" outlineLevel="0" collapsed="false">
      <c r="A318" s="5" t="s">
        <v>88</v>
      </c>
      <c r="B318" s="5" t="s">
        <v>75</v>
      </c>
      <c r="C318" s="5" t="s">
        <v>501</v>
      </c>
      <c r="D318" s="6" t="n">
        <v>0.18947695246729</v>
      </c>
      <c r="E318" s="6" t="n">
        <v>0.0395089415704865</v>
      </c>
      <c r="F318" s="7" t="n">
        <v>1.62027483281067E-006</v>
      </c>
    </row>
    <row r="319" customFormat="false" ht="15" hidden="false" customHeight="true" outlineLevel="0" collapsed="false">
      <c r="A319" s="5" t="s">
        <v>88</v>
      </c>
      <c r="B319" s="5" t="s">
        <v>75</v>
      </c>
      <c r="C319" s="5" t="s">
        <v>502</v>
      </c>
      <c r="D319" s="6" t="n">
        <v>0.185890976986689</v>
      </c>
      <c r="E319" s="6" t="n">
        <v>0.0395808388596446</v>
      </c>
      <c r="F319" s="7" t="n">
        <v>2.64671394294887E-006</v>
      </c>
    </row>
    <row r="320" customFormat="false" ht="15" hidden="false" customHeight="true" outlineLevel="0" collapsed="false">
      <c r="A320" s="5" t="s">
        <v>88</v>
      </c>
      <c r="B320" s="5" t="s">
        <v>75</v>
      </c>
      <c r="C320" s="5" t="s">
        <v>503</v>
      </c>
      <c r="D320" s="6" t="n">
        <v>0.185643229751022</v>
      </c>
      <c r="E320" s="6" t="n">
        <v>0.0394870281018893</v>
      </c>
      <c r="F320" s="7" t="n">
        <v>2.58418546504222E-006</v>
      </c>
    </row>
    <row r="321" customFormat="false" ht="15" hidden="false" customHeight="true" outlineLevel="0" collapsed="false">
      <c r="A321" s="5" t="s">
        <v>88</v>
      </c>
      <c r="B321" s="5" t="s">
        <v>75</v>
      </c>
      <c r="C321" s="5" t="s">
        <v>504</v>
      </c>
      <c r="D321" s="6" t="n">
        <v>0.189444867135354</v>
      </c>
      <c r="E321" s="6" t="n">
        <v>0.0395794331112846</v>
      </c>
      <c r="F321" s="7" t="n">
        <v>1.69759565308788E-006</v>
      </c>
    </row>
    <row r="322" customFormat="false" ht="15" hidden="false" customHeight="true" outlineLevel="0" collapsed="false">
      <c r="A322" s="5" t="s">
        <v>88</v>
      </c>
      <c r="B322" s="5" t="s">
        <v>75</v>
      </c>
      <c r="C322" s="5" t="s">
        <v>505</v>
      </c>
      <c r="D322" s="6" t="n">
        <v>0.187142502048484</v>
      </c>
      <c r="E322" s="6" t="n">
        <v>0.0396388277108633</v>
      </c>
      <c r="F322" s="7" t="n">
        <v>2.34466889782112E-006</v>
      </c>
    </row>
    <row r="323" customFormat="false" ht="15" hidden="false" customHeight="true" outlineLevel="0" collapsed="false">
      <c r="A323" s="5" t="s">
        <v>88</v>
      </c>
      <c r="B323" s="5" t="s">
        <v>75</v>
      </c>
      <c r="C323" s="5" t="s">
        <v>506</v>
      </c>
      <c r="D323" s="6" t="n">
        <v>0.187063606173352</v>
      </c>
      <c r="E323" s="6" t="n">
        <v>0.0396039879710144</v>
      </c>
      <c r="F323" s="7" t="n">
        <v>2.3198792680887E-006</v>
      </c>
    </row>
    <row r="324" customFormat="false" ht="15" hidden="false" customHeight="true" outlineLevel="0" collapsed="false">
      <c r="A324" s="5" t="s">
        <v>88</v>
      </c>
      <c r="B324" s="5" t="s">
        <v>75</v>
      </c>
      <c r="C324" s="5" t="s">
        <v>507</v>
      </c>
      <c r="D324" s="6" t="n">
        <v>0.186541686671296</v>
      </c>
      <c r="E324" s="6" t="n">
        <v>0.0397445167072584</v>
      </c>
      <c r="F324" s="7" t="n">
        <v>2.68543636289393E-006</v>
      </c>
    </row>
    <row r="325" customFormat="false" ht="15" hidden="false" customHeight="true" outlineLevel="0" collapsed="false">
      <c r="A325" s="5" t="s">
        <v>88</v>
      </c>
      <c r="B325" s="5" t="s">
        <v>75</v>
      </c>
      <c r="C325" s="5" t="s">
        <v>508</v>
      </c>
      <c r="D325" s="6" t="n">
        <v>0.188177819038207</v>
      </c>
      <c r="E325" s="6" t="n">
        <v>0.0395937459191276</v>
      </c>
      <c r="F325" s="7" t="n">
        <v>2.00702439031984E-006</v>
      </c>
    </row>
    <row r="326" customFormat="false" ht="15" hidden="false" customHeight="true" outlineLevel="0" collapsed="false">
      <c r="A326" s="5" t="s">
        <v>88</v>
      </c>
      <c r="B326" s="5" t="s">
        <v>75</v>
      </c>
      <c r="C326" s="5" t="s">
        <v>509</v>
      </c>
      <c r="D326" s="6" t="n">
        <v>0.186934213464994</v>
      </c>
      <c r="E326" s="6" t="n">
        <v>0.0395853936402041</v>
      </c>
      <c r="F326" s="7" t="n">
        <v>2.33189204001863E-006</v>
      </c>
    </row>
    <row r="327" customFormat="false" ht="15" hidden="false" customHeight="true" outlineLevel="0" collapsed="false">
      <c r="A327" s="5" t="s">
        <v>88</v>
      </c>
      <c r="B327" s="5" t="s">
        <v>75</v>
      </c>
      <c r="C327" s="5" t="s">
        <v>510</v>
      </c>
      <c r="D327" s="6" t="n">
        <v>0.188597278890937</v>
      </c>
      <c r="E327" s="6" t="n">
        <v>0.0395840033108262</v>
      </c>
      <c r="F327" s="7" t="n">
        <v>1.89339236620341E-006</v>
      </c>
    </row>
    <row r="328" customFormat="false" ht="15" hidden="false" customHeight="true" outlineLevel="0" collapsed="false">
      <c r="A328" s="5" t="s">
        <v>88</v>
      </c>
      <c r="B328" s="5" t="s">
        <v>75</v>
      </c>
      <c r="C328" s="5" t="s">
        <v>511</v>
      </c>
      <c r="D328" s="6" t="n">
        <v>0.188264924267217</v>
      </c>
      <c r="E328" s="6" t="n">
        <v>0.0396215569016501</v>
      </c>
      <c r="F328" s="7" t="n">
        <v>2.01835115272001E-006</v>
      </c>
    </row>
    <row r="329" customFormat="false" ht="15" hidden="false" customHeight="true" outlineLevel="0" collapsed="false">
      <c r="A329" s="5" t="s">
        <v>88</v>
      </c>
      <c r="B329" s="5" t="s">
        <v>75</v>
      </c>
      <c r="C329" s="5" t="s">
        <v>512</v>
      </c>
      <c r="D329" s="6" t="n">
        <v>0.187398261275531</v>
      </c>
      <c r="E329" s="6" t="n">
        <v>0.0395961294658889</v>
      </c>
      <c r="F329" s="7" t="n">
        <v>2.21507070161708E-006</v>
      </c>
    </row>
    <row r="330" customFormat="false" ht="15" hidden="false" customHeight="true" outlineLevel="0" collapsed="false">
      <c r="A330" s="5" t="s">
        <v>88</v>
      </c>
      <c r="B330" s="5" t="s">
        <v>75</v>
      </c>
      <c r="C330" s="5" t="s">
        <v>513</v>
      </c>
      <c r="D330" s="6" t="n">
        <v>0.186988618461915</v>
      </c>
      <c r="E330" s="6" t="n">
        <v>0.0396253222599647</v>
      </c>
      <c r="F330" s="7" t="n">
        <v>2.37103185893952E-006</v>
      </c>
    </row>
    <row r="331" customFormat="false" ht="15" hidden="false" customHeight="true" outlineLevel="0" collapsed="false">
      <c r="A331" s="5" t="s">
        <v>88</v>
      </c>
      <c r="B331" s="5" t="s">
        <v>75</v>
      </c>
      <c r="C331" s="5" t="s">
        <v>514</v>
      </c>
      <c r="D331" s="6" t="n">
        <v>0.192189926948269</v>
      </c>
      <c r="E331" s="6" t="n">
        <v>0.039495485531593</v>
      </c>
      <c r="F331" s="7" t="n">
        <v>1.13808173609703E-006</v>
      </c>
    </row>
    <row r="332" customFormat="false" ht="15" hidden="false" customHeight="true" outlineLevel="0" collapsed="false">
      <c r="A332" s="5" t="s">
        <v>88</v>
      </c>
      <c r="B332" s="5" t="s">
        <v>75</v>
      </c>
      <c r="C332" s="5" t="s">
        <v>515</v>
      </c>
      <c r="D332" s="6" t="n">
        <v>0.186707176145732</v>
      </c>
      <c r="E332" s="6" t="n">
        <v>0.0396093748959437</v>
      </c>
      <c r="F332" s="7" t="n">
        <v>2.43244688332025E-006</v>
      </c>
    </row>
    <row r="333" customFormat="false" ht="15" hidden="false" customHeight="true" outlineLevel="0" collapsed="false">
      <c r="A333" s="5" t="s">
        <v>88</v>
      </c>
      <c r="B333" s="5" t="s">
        <v>75</v>
      </c>
      <c r="C333" s="5" t="s">
        <v>516</v>
      </c>
      <c r="D333" s="6" t="n">
        <v>0.186919597094688</v>
      </c>
      <c r="E333" s="6" t="n">
        <v>0.0395993019583485</v>
      </c>
      <c r="F333" s="7" t="n">
        <v>2.35525945363384E-006</v>
      </c>
    </row>
    <row r="334" customFormat="false" ht="15" hidden="false" customHeight="true" outlineLevel="0" collapsed="false">
      <c r="A334" s="5" t="s">
        <v>88</v>
      </c>
      <c r="B334" s="5" t="s">
        <v>75</v>
      </c>
      <c r="C334" s="5" t="s">
        <v>517</v>
      </c>
      <c r="D334" s="6" t="n">
        <v>0.189768894452833</v>
      </c>
      <c r="E334" s="6" t="n">
        <v>0.0397528567223923</v>
      </c>
      <c r="F334" s="7" t="n">
        <v>1.8085633120945E-006</v>
      </c>
    </row>
    <row r="335" customFormat="false" ht="15" hidden="false" customHeight="true" outlineLevel="0" collapsed="false">
      <c r="A335" s="5" t="s">
        <v>88</v>
      </c>
      <c r="B335" s="5" t="s">
        <v>75</v>
      </c>
      <c r="C335" s="5" t="s">
        <v>518</v>
      </c>
      <c r="D335" s="6" t="n">
        <v>0.189026900979809</v>
      </c>
      <c r="E335" s="6" t="n">
        <v>0.039544941172741</v>
      </c>
      <c r="F335" s="7" t="n">
        <v>1.75249291223529E-006</v>
      </c>
    </row>
    <row r="336" customFormat="false" ht="15" hidden="false" customHeight="true" outlineLevel="0" collapsed="false">
      <c r="A336" s="5" t="s">
        <v>88</v>
      </c>
      <c r="B336" s="5" t="s">
        <v>75</v>
      </c>
      <c r="C336" s="5" t="s">
        <v>519</v>
      </c>
      <c r="D336" s="6" t="n">
        <v>0.186328222689791</v>
      </c>
      <c r="E336" s="6" t="n">
        <v>0.0395901536975644</v>
      </c>
      <c r="F336" s="7" t="n">
        <v>2.52094502215039E-006</v>
      </c>
    </row>
    <row r="337" customFormat="false" ht="15" hidden="false" customHeight="true" outlineLevel="0" collapsed="false">
      <c r="A337" s="5" t="s">
        <v>88</v>
      </c>
      <c r="B337" s="5" t="s">
        <v>75</v>
      </c>
      <c r="C337" s="5" t="s">
        <v>520</v>
      </c>
      <c r="D337" s="6" t="n">
        <v>0.187225735537215</v>
      </c>
      <c r="E337" s="6" t="n">
        <v>0.0395947949834213</v>
      </c>
      <c r="F337" s="7" t="n">
        <v>2.26135475358994E-006</v>
      </c>
    </row>
    <row r="338" customFormat="false" ht="15" hidden="false" customHeight="true" outlineLevel="0" collapsed="false">
      <c r="A338" s="5" t="s">
        <v>88</v>
      </c>
      <c r="B338" s="5" t="s">
        <v>75</v>
      </c>
      <c r="C338" s="5" t="s">
        <v>521</v>
      </c>
      <c r="D338" s="6" t="n">
        <v>0.185356417267702</v>
      </c>
      <c r="E338" s="6" t="n">
        <v>0.0396332982845437</v>
      </c>
      <c r="F338" s="7" t="n">
        <v>2.914074170102E-006</v>
      </c>
    </row>
    <row r="339" customFormat="false" ht="15" hidden="false" customHeight="true" outlineLevel="0" collapsed="false">
      <c r="A339" s="5" t="s">
        <v>88</v>
      </c>
      <c r="B339" s="5" t="s">
        <v>75</v>
      </c>
      <c r="C339" s="5" t="s">
        <v>522</v>
      </c>
      <c r="D339" s="6" t="n">
        <v>0.189085310332427</v>
      </c>
      <c r="E339" s="6" t="n">
        <v>0.0395817495999681</v>
      </c>
      <c r="F339" s="7" t="n">
        <v>1.77856213628215E-006</v>
      </c>
    </row>
    <row r="340" customFormat="false" ht="15" hidden="false" customHeight="true" outlineLevel="0" collapsed="false">
      <c r="A340" s="5" t="s">
        <v>88</v>
      </c>
      <c r="B340" s="5" t="s">
        <v>75</v>
      </c>
      <c r="C340" s="5" t="s">
        <v>523</v>
      </c>
      <c r="D340" s="6" t="n">
        <v>0.185969175345761</v>
      </c>
      <c r="E340" s="6" t="n">
        <v>0.0395563436240084</v>
      </c>
      <c r="F340" s="7" t="n">
        <v>2.58416386495531E-006</v>
      </c>
    </row>
    <row r="341" customFormat="false" ht="15" hidden="false" customHeight="true" outlineLevel="0" collapsed="false">
      <c r="A341" s="5" t="s">
        <v>88</v>
      </c>
      <c r="B341" s="5" t="s">
        <v>75</v>
      </c>
      <c r="C341" s="5" t="s">
        <v>524</v>
      </c>
      <c r="D341" s="6" t="n">
        <v>0.188674345782521</v>
      </c>
      <c r="E341" s="6" t="n">
        <v>0.0395809370828508</v>
      </c>
      <c r="F341" s="7" t="n">
        <v>1.87176472574704E-006</v>
      </c>
    </row>
    <row r="342" customFormat="false" ht="15" hidden="false" customHeight="true" outlineLevel="0" collapsed="false">
      <c r="A342" s="5" t="s">
        <v>88</v>
      </c>
      <c r="B342" s="5" t="s">
        <v>75</v>
      </c>
      <c r="C342" s="5" t="s">
        <v>525</v>
      </c>
      <c r="D342" s="6" t="n">
        <v>0.186653734164215</v>
      </c>
      <c r="E342" s="6" t="n">
        <v>0.0395835299782639</v>
      </c>
      <c r="F342" s="7" t="n">
        <v>2.41189753630221E-006</v>
      </c>
    </row>
    <row r="343" customFormat="false" ht="15" hidden="false" customHeight="true" outlineLevel="0" collapsed="false">
      <c r="A343" s="5" t="s">
        <v>88</v>
      </c>
      <c r="B343" s="5" t="s">
        <v>75</v>
      </c>
      <c r="C343" s="5" t="s">
        <v>526</v>
      </c>
      <c r="D343" s="6" t="n">
        <v>0.190204940811462</v>
      </c>
      <c r="E343" s="6" t="n">
        <v>0.0397950225763404</v>
      </c>
      <c r="F343" s="7" t="n">
        <v>1.75630005180659E-006</v>
      </c>
    </row>
    <row r="344" customFormat="false" ht="15" hidden="false" customHeight="true" outlineLevel="0" collapsed="false">
      <c r="A344" s="5" t="s">
        <v>88</v>
      </c>
      <c r="B344" s="5" t="s">
        <v>75</v>
      </c>
      <c r="C344" s="5" t="s">
        <v>527</v>
      </c>
      <c r="D344" s="6" t="n">
        <v>0.186393962631988</v>
      </c>
      <c r="E344" s="6" t="n">
        <v>0.0397412958277359</v>
      </c>
      <c r="F344" s="7" t="n">
        <v>2.72960390368229E-006</v>
      </c>
    </row>
    <row r="345" customFormat="false" ht="15" hidden="false" customHeight="true" outlineLevel="0" collapsed="false">
      <c r="A345" s="5" t="s">
        <v>88</v>
      </c>
      <c r="B345" s="5" t="s">
        <v>75</v>
      </c>
      <c r="C345" s="5" t="s">
        <v>528</v>
      </c>
      <c r="D345" s="6" t="n">
        <v>0.189377412476995</v>
      </c>
      <c r="E345" s="6" t="n">
        <v>0.0395829872652218</v>
      </c>
      <c r="F345" s="7" t="n">
        <v>1.71572888037188E-006</v>
      </c>
    </row>
    <row r="346" customFormat="false" ht="15" hidden="false" customHeight="true" outlineLevel="0" collapsed="false">
      <c r="A346" s="5" t="s">
        <v>88</v>
      </c>
      <c r="B346" s="5" t="s">
        <v>75</v>
      </c>
      <c r="C346" s="5" t="s">
        <v>529</v>
      </c>
      <c r="D346" s="6" t="n">
        <v>0.184603663914552</v>
      </c>
      <c r="E346" s="6" t="n">
        <v>0.0395212100223729</v>
      </c>
      <c r="F346" s="7" t="n">
        <v>2.99733545718048E-006</v>
      </c>
    </row>
    <row r="347" customFormat="false" ht="15" hidden="false" customHeight="true" outlineLevel="0" collapsed="false">
      <c r="A347" s="5" t="s">
        <v>88</v>
      </c>
      <c r="B347" s="5" t="s">
        <v>75</v>
      </c>
      <c r="C347" s="5" t="s">
        <v>530</v>
      </c>
      <c r="D347" s="6" t="n">
        <v>0.187030473814505</v>
      </c>
      <c r="E347" s="6" t="n">
        <v>0.0396000981068442</v>
      </c>
      <c r="F347" s="7" t="n">
        <v>2.32413642278226E-006</v>
      </c>
    </row>
    <row r="348" customFormat="false" ht="15" hidden="false" customHeight="true" outlineLevel="0" collapsed="false">
      <c r="A348" s="5" t="s">
        <v>88</v>
      </c>
      <c r="B348" s="5" t="s">
        <v>75</v>
      </c>
      <c r="C348" s="5" t="s">
        <v>531</v>
      </c>
      <c r="D348" s="6" t="n">
        <v>0.186721616125647</v>
      </c>
      <c r="E348" s="6" t="n">
        <v>0.0395930317897944</v>
      </c>
      <c r="F348" s="7" t="n">
        <v>2.40500228118117E-006</v>
      </c>
    </row>
    <row r="349" customFormat="false" ht="15" hidden="false" customHeight="true" outlineLevel="0" collapsed="false">
      <c r="A349" s="5" t="s">
        <v>88</v>
      </c>
      <c r="B349" s="5" t="s">
        <v>75</v>
      </c>
      <c r="C349" s="5" t="s">
        <v>532</v>
      </c>
      <c r="D349" s="6" t="n">
        <v>0.189694383893675</v>
      </c>
      <c r="E349" s="6" t="n">
        <v>0.039430641303164</v>
      </c>
      <c r="F349" s="7" t="n">
        <v>1.50299635065948E-006</v>
      </c>
    </row>
    <row r="350" customFormat="false" ht="15" hidden="false" customHeight="true" outlineLevel="0" collapsed="false">
      <c r="A350" s="5" t="s">
        <v>88</v>
      </c>
      <c r="B350" s="5" t="s">
        <v>75</v>
      </c>
      <c r="C350" s="5" t="s">
        <v>533</v>
      </c>
      <c r="D350" s="6" t="n">
        <v>0.187780546142451</v>
      </c>
      <c r="E350" s="6" t="n">
        <v>0.0395986406158627</v>
      </c>
      <c r="F350" s="7" t="n">
        <v>2.11518584190912E-006</v>
      </c>
    </row>
    <row r="351" customFormat="false" ht="15" hidden="false" customHeight="true" outlineLevel="0" collapsed="false">
      <c r="A351" s="5" t="s">
        <v>88</v>
      </c>
      <c r="B351" s="5" t="s">
        <v>75</v>
      </c>
      <c r="C351" s="5" t="s">
        <v>534</v>
      </c>
      <c r="D351" s="6" t="n">
        <v>0.187718590431092</v>
      </c>
      <c r="E351" s="6" t="n">
        <v>0.0396078651543143</v>
      </c>
      <c r="F351" s="7" t="n">
        <v>2.14323299459388E-006</v>
      </c>
    </row>
    <row r="352" customFormat="false" ht="15" hidden="false" customHeight="true" outlineLevel="0" collapsed="false">
      <c r="A352" s="5" t="s">
        <v>88</v>
      </c>
      <c r="B352" s="5" t="s">
        <v>75</v>
      </c>
      <c r="C352" s="5" t="s">
        <v>535</v>
      </c>
      <c r="D352" s="6" t="n">
        <v>0.186869265456638</v>
      </c>
      <c r="E352" s="6" t="n">
        <v>0.0395857509090606</v>
      </c>
      <c r="F352" s="7" t="n">
        <v>2.3512748598748E-006</v>
      </c>
    </row>
    <row r="353" customFormat="false" ht="15" hidden="false" customHeight="true" outlineLevel="0" collapsed="false">
      <c r="A353" s="5" t="s">
        <v>88</v>
      </c>
      <c r="B353" s="5" t="s">
        <v>75</v>
      </c>
      <c r="C353" s="5" t="s">
        <v>536</v>
      </c>
      <c r="D353" s="6" t="n">
        <v>0.186951394981999</v>
      </c>
      <c r="E353" s="6" t="n">
        <v>0.0395601266474383</v>
      </c>
      <c r="F353" s="7" t="n">
        <v>2.29263966936838E-006</v>
      </c>
    </row>
    <row r="354" customFormat="false" ht="15" hidden="false" customHeight="true" outlineLevel="0" collapsed="false">
      <c r="A354" s="5" t="s">
        <v>88</v>
      </c>
      <c r="B354" s="5" t="s">
        <v>75</v>
      </c>
      <c r="C354" s="5" t="s">
        <v>537</v>
      </c>
      <c r="D354" s="6" t="n">
        <v>0.189796800017269</v>
      </c>
      <c r="E354" s="6" t="n">
        <v>0.0395636998115747</v>
      </c>
      <c r="F354" s="7" t="n">
        <v>1.60862009452481E-006</v>
      </c>
    </row>
    <row r="355" customFormat="false" ht="15" hidden="false" customHeight="true" outlineLevel="0" collapsed="false">
      <c r="A355" s="5" t="s">
        <v>88</v>
      </c>
      <c r="B355" s="5" t="s">
        <v>75</v>
      </c>
      <c r="C355" s="5" t="s">
        <v>538</v>
      </c>
      <c r="D355" s="6" t="n">
        <v>0.189219947651417</v>
      </c>
      <c r="E355" s="6" t="n">
        <v>0.0395248125880048</v>
      </c>
      <c r="F355" s="7" t="n">
        <v>1.68980154645776E-006</v>
      </c>
    </row>
    <row r="356" customFormat="false" ht="15" hidden="false" customHeight="true" outlineLevel="0" collapsed="false">
      <c r="A356" s="5" t="s">
        <v>88</v>
      </c>
      <c r="B356" s="5" t="s">
        <v>75</v>
      </c>
      <c r="C356" s="5" t="s">
        <v>539</v>
      </c>
      <c r="D356" s="6" t="n">
        <v>0.188076511382621</v>
      </c>
      <c r="E356" s="6" t="n">
        <v>0.0395375469843655</v>
      </c>
      <c r="F356" s="7" t="n">
        <v>1.96579771909108E-006</v>
      </c>
    </row>
    <row r="357" customFormat="false" ht="15" hidden="false" customHeight="true" outlineLevel="0" collapsed="false">
      <c r="A357" s="5" t="s">
        <v>88</v>
      </c>
      <c r="B357" s="5" t="s">
        <v>75</v>
      </c>
      <c r="C357" s="5" t="s">
        <v>540</v>
      </c>
      <c r="D357" s="6" t="n">
        <v>0.187292758021718</v>
      </c>
      <c r="E357" s="6" t="n">
        <v>0.0396617967468337</v>
      </c>
      <c r="F357" s="7" t="n">
        <v>2.33254392923588E-006</v>
      </c>
    </row>
    <row r="358" customFormat="false" ht="15" hidden="false" customHeight="true" outlineLevel="0" collapsed="false">
      <c r="A358" s="5" t="s">
        <v>88</v>
      </c>
      <c r="B358" s="5" t="s">
        <v>75</v>
      </c>
      <c r="C358" s="5" t="s">
        <v>541</v>
      </c>
      <c r="D358" s="6" t="n">
        <v>0.187532177065285</v>
      </c>
      <c r="E358" s="6" t="n">
        <v>0.0396103199790902</v>
      </c>
      <c r="F358" s="7" t="n">
        <v>2.19674579547682E-006</v>
      </c>
    </row>
    <row r="359" customFormat="false" ht="15" hidden="false" customHeight="true" outlineLevel="0" collapsed="false">
      <c r="A359" s="5" t="s">
        <v>88</v>
      </c>
      <c r="B359" s="5" t="s">
        <v>75</v>
      </c>
      <c r="C359" s="5" t="s">
        <v>542</v>
      </c>
      <c r="D359" s="6" t="n">
        <v>0.18619049292225</v>
      </c>
      <c r="E359" s="6" t="n">
        <v>0.0395248190728234</v>
      </c>
      <c r="F359" s="7" t="n">
        <v>2.46838970905295E-006</v>
      </c>
    </row>
    <row r="360" customFormat="false" ht="15" hidden="false" customHeight="true" outlineLevel="0" collapsed="false">
      <c r="A360" s="5" t="s">
        <v>88</v>
      </c>
      <c r="B360" s="5" t="s">
        <v>75</v>
      </c>
      <c r="C360" s="5" t="s">
        <v>543</v>
      </c>
      <c r="D360" s="6" t="n">
        <v>0.188399907329971</v>
      </c>
      <c r="E360" s="6" t="n">
        <v>0.0396090655501009</v>
      </c>
      <c r="F360" s="7" t="n">
        <v>1.96993332632255E-006</v>
      </c>
    </row>
    <row r="361" customFormat="false" ht="15" hidden="false" customHeight="true" outlineLevel="0" collapsed="false">
      <c r="A361" s="5" t="s">
        <v>88</v>
      </c>
      <c r="B361" s="5" t="s">
        <v>75</v>
      </c>
      <c r="C361" s="5" t="s">
        <v>544</v>
      </c>
      <c r="D361" s="6" t="n">
        <v>0.184398605244719</v>
      </c>
      <c r="E361" s="6" t="n">
        <v>0.0395100253534791</v>
      </c>
      <c r="F361" s="7" t="n">
        <v>3.05429299493348E-006</v>
      </c>
    </row>
    <row r="362" customFormat="false" ht="15" hidden="false" customHeight="true" outlineLevel="0" collapsed="false">
      <c r="A362" s="5" t="s">
        <v>88</v>
      </c>
      <c r="B362" s="5" t="s">
        <v>75</v>
      </c>
      <c r="C362" s="5" t="s">
        <v>545</v>
      </c>
      <c r="D362" s="6" t="n">
        <v>0.190118870059587</v>
      </c>
      <c r="E362" s="6" t="n">
        <v>0.0395823862904321</v>
      </c>
      <c r="F362" s="7" t="n">
        <v>1.56213801589547E-006</v>
      </c>
    </row>
    <row r="363" customFormat="false" ht="15" hidden="false" customHeight="true" outlineLevel="0" collapsed="false">
      <c r="A363" s="5" t="s">
        <v>88</v>
      </c>
      <c r="B363" s="5" t="s">
        <v>75</v>
      </c>
      <c r="C363" s="5" t="s">
        <v>546</v>
      </c>
      <c r="D363" s="6" t="n">
        <v>0.188456539839186</v>
      </c>
      <c r="E363" s="6" t="n">
        <v>0.0396195546142583</v>
      </c>
      <c r="F363" s="7" t="n">
        <v>1.96827436370349E-006</v>
      </c>
    </row>
    <row r="364" customFormat="false" ht="15" hidden="false" customHeight="true" outlineLevel="0" collapsed="false">
      <c r="A364" s="5" t="s">
        <v>88</v>
      </c>
      <c r="B364" s="5" t="s">
        <v>75</v>
      </c>
      <c r="C364" s="5" t="s">
        <v>547</v>
      </c>
      <c r="D364" s="6" t="n">
        <v>0.189519876208001</v>
      </c>
      <c r="E364" s="6" t="n">
        <v>0.0393631822646832</v>
      </c>
      <c r="F364" s="7" t="n">
        <v>1.47459406065395E-006</v>
      </c>
    </row>
    <row r="365" customFormat="false" ht="15" hidden="false" customHeight="true" outlineLevel="0" collapsed="false">
      <c r="A365" s="5" t="s">
        <v>88</v>
      </c>
      <c r="B365" s="5" t="s">
        <v>75</v>
      </c>
      <c r="C365" s="5" t="s">
        <v>548</v>
      </c>
      <c r="D365" s="6" t="n">
        <v>0.189986061964816</v>
      </c>
      <c r="E365" s="6" t="n">
        <v>0.0396704805280298</v>
      </c>
      <c r="F365" s="7" t="n">
        <v>1.67527540667752E-006</v>
      </c>
    </row>
    <row r="366" customFormat="false" ht="15" hidden="false" customHeight="true" outlineLevel="0" collapsed="false">
      <c r="A366" s="5" t="s">
        <v>88</v>
      </c>
      <c r="B366" s="5" t="s">
        <v>75</v>
      </c>
      <c r="C366" s="5" t="s">
        <v>549</v>
      </c>
      <c r="D366" s="6" t="n">
        <v>0.190447003282792</v>
      </c>
      <c r="E366" s="6" t="n">
        <v>0.0395205173756134</v>
      </c>
      <c r="F366" s="7" t="n">
        <v>1.44322921043718E-006</v>
      </c>
    </row>
    <row r="367" customFormat="false" ht="15" hidden="false" customHeight="true" outlineLevel="0" collapsed="false">
      <c r="A367" s="5" t="s">
        <v>88</v>
      </c>
      <c r="B367" s="5" t="s">
        <v>75</v>
      </c>
      <c r="C367" s="5" t="s">
        <v>550</v>
      </c>
      <c r="D367" s="6" t="n">
        <v>0.187948766859488</v>
      </c>
      <c r="E367" s="6" t="n">
        <v>0.0395785919845684</v>
      </c>
      <c r="F367" s="7" t="n">
        <v>2.04679601631023E-006</v>
      </c>
    </row>
    <row r="368" customFormat="false" ht="15" hidden="false" customHeight="true" outlineLevel="0" collapsed="false">
      <c r="A368" s="5" t="s">
        <v>88</v>
      </c>
      <c r="B368" s="5" t="s">
        <v>75</v>
      </c>
      <c r="C368" s="5" t="s">
        <v>551</v>
      </c>
      <c r="D368" s="6" t="n">
        <v>0.18763720475214</v>
      </c>
      <c r="E368" s="6" t="n">
        <v>0.03957332550501</v>
      </c>
      <c r="F368" s="7" t="n">
        <v>2.12134198248631E-006</v>
      </c>
    </row>
    <row r="369" customFormat="false" ht="15" hidden="false" customHeight="true" outlineLevel="0" collapsed="false">
      <c r="A369" s="5" t="s">
        <v>88</v>
      </c>
      <c r="B369" s="5" t="s">
        <v>75</v>
      </c>
      <c r="C369" s="5" t="s">
        <v>552</v>
      </c>
      <c r="D369" s="6" t="n">
        <v>0.189404491972187</v>
      </c>
      <c r="E369" s="6" t="n">
        <v>0.0395804301089011</v>
      </c>
      <c r="F369" s="7" t="n">
        <v>1.70726543680198E-006</v>
      </c>
    </row>
    <row r="370" customFormat="false" ht="15" hidden="false" customHeight="true" outlineLevel="0" collapsed="false">
      <c r="A370" s="5" t="s">
        <v>88</v>
      </c>
      <c r="B370" s="5" t="s">
        <v>75</v>
      </c>
      <c r="C370" s="5" t="s">
        <v>553</v>
      </c>
      <c r="D370" s="6" t="n">
        <v>0.186479021304609</v>
      </c>
      <c r="E370" s="6" t="n">
        <v>0.0395769679032053</v>
      </c>
      <c r="F370" s="7" t="n">
        <v>2.45530259546589E-006</v>
      </c>
    </row>
    <row r="371" customFormat="false" ht="15" hidden="false" customHeight="true" outlineLevel="0" collapsed="false">
      <c r="A371" s="5" t="s">
        <v>88</v>
      </c>
      <c r="B371" s="5" t="s">
        <v>75</v>
      </c>
      <c r="C371" s="5" t="s">
        <v>554</v>
      </c>
      <c r="D371" s="6" t="n">
        <v>0.189578406276578</v>
      </c>
      <c r="E371" s="6" t="n">
        <v>0.0395282806878856</v>
      </c>
      <c r="F371" s="7" t="n">
        <v>1.61849505346993E-006</v>
      </c>
    </row>
    <row r="372" customFormat="false" ht="15" hidden="false" customHeight="true" outlineLevel="0" collapsed="false">
      <c r="A372" s="5" t="s">
        <v>88</v>
      </c>
      <c r="B372" s="5" t="s">
        <v>75</v>
      </c>
      <c r="C372" s="5" t="s">
        <v>555</v>
      </c>
      <c r="D372" s="6" t="n">
        <v>0.186988590137742</v>
      </c>
      <c r="E372" s="6" t="n">
        <v>0.039556334200887</v>
      </c>
      <c r="F372" s="7" t="n">
        <v>2.27696893609016E-006</v>
      </c>
    </row>
    <row r="373" customFormat="false" ht="15" hidden="false" customHeight="true" outlineLevel="0" collapsed="false">
      <c r="A373" s="5" t="s">
        <v>88</v>
      </c>
      <c r="B373" s="5" t="s">
        <v>75</v>
      </c>
      <c r="C373" s="5" t="s">
        <v>556</v>
      </c>
      <c r="D373" s="6" t="n">
        <v>0.187972897362715</v>
      </c>
      <c r="E373" s="6" t="n">
        <v>0.0395987721323975</v>
      </c>
      <c r="F373" s="7" t="n">
        <v>2.06519707169314E-006</v>
      </c>
    </row>
    <row r="374" customFormat="false" ht="15" hidden="false" customHeight="true" outlineLevel="0" collapsed="false">
      <c r="A374" s="5" t="s">
        <v>88</v>
      </c>
      <c r="B374" s="5" t="s">
        <v>75</v>
      </c>
      <c r="C374" s="5" t="s">
        <v>557</v>
      </c>
      <c r="D374" s="6" t="n">
        <v>0.188436557927806</v>
      </c>
      <c r="E374" s="6" t="n">
        <v>0.0394949174635576</v>
      </c>
      <c r="F374" s="7" t="n">
        <v>1.83168250760493E-006</v>
      </c>
    </row>
    <row r="375" customFormat="false" ht="15" hidden="false" customHeight="true" outlineLevel="0" collapsed="false">
      <c r="A375" s="5" t="s">
        <v>88</v>
      </c>
      <c r="B375" s="5" t="s">
        <v>75</v>
      </c>
      <c r="C375" s="5" t="s">
        <v>558</v>
      </c>
      <c r="D375" s="6" t="n">
        <v>0.18750299270618</v>
      </c>
      <c r="E375" s="6" t="n">
        <v>0.0396062162543304</v>
      </c>
      <c r="F375" s="7" t="n">
        <v>2.19941493035229E-006</v>
      </c>
    </row>
    <row r="376" customFormat="false" ht="15" hidden="false" customHeight="true" outlineLevel="0" collapsed="false">
      <c r="A376" s="5" t="s">
        <v>88</v>
      </c>
      <c r="B376" s="5" t="s">
        <v>75</v>
      </c>
      <c r="C376" s="5" t="s">
        <v>559</v>
      </c>
      <c r="D376" s="6" t="n">
        <v>0.188082131064853</v>
      </c>
      <c r="E376" s="6" t="n">
        <v>0.0396093553534394</v>
      </c>
      <c r="F376" s="7" t="n">
        <v>2.05004891302186E-006</v>
      </c>
    </row>
    <row r="377" customFormat="false" ht="15" hidden="false" customHeight="true" outlineLevel="0" collapsed="false">
      <c r="A377" s="5" t="s">
        <v>88</v>
      </c>
      <c r="B377" s="5" t="s">
        <v>75</v>
      </c>
      <c r="C377" s="5" t="s">
        <v>560</v>
      </c>
      <c r="D377" s="6" t="n">
        <v>0.186285935045919</v>
      </c>
      <c r="E377" s="6" t="n">
        <v>0.0395595062032681</v>
      </c>
      <c r="F377" s="7" t="n">
        <v>2.48928269919429E-006</v>
      </c>
    </row>
    <row r="378" customFormat="false" ht="15" hidden="false" customHeight="true" outlineLevel="0" collapsed="false">
      <c r="A378" s="5" t="s">
        <v>88</v>
      </c>
      <c r="B378" s="5" t="s">
        <v>75</v>
      </c>
      <c r="C378" s="5" t="s">
        <v>561</v>
      </c>
      <c r="D378" s="6" t="n">
        <v>0.186471252950846</v>
      </c>
      <c r="E378" s="6" t="n">
        <v>0.0395815021394271</v>
      </c>
      <c r="F378" s="7" t="n">
        <v>2.46418786948168E-006</v>
      </c>
    </row>
    <row r="379" customFormat="false" ht="15" hidden="false" customHeight="true" outlineLevel="0" collapsed="false">
      <c r="A379" s="5" t="s">
        <v>88</v>
      </c>
      <c r="B379" s="5" t="s">
        <v>75</v>
      </c>
      <c r="C379" s="5" t="s">
        <v>562</v>
      </c>
      <c r="D379" s="6" t="n">
        <v>0.188176931099277</v>
      </c>
      <c r="E379" s="6" t="n">
        <v>0.0396086953317508</v>
      </c>
      <c r="F379" s="7" t="n">
        <v>2.02513764104829E-006</v>
      </c>
    </row>
    <row r="380" customFormat="false" ht="15" hidden="false" customHeight="true" outlineLevel="0" collapsed="false">
      <c r="A380" s="5" t="s">
        <v>88</v>
      </c>
      <c r="B380" s="5" t="s">
        <v>75</v>
      </c>
      <c r="C380" s="5" t="s">
        <v>563</v>
      </c>
      <c r="D380" s="6" t="n">
        <v>0.18571939344708</v>
      </c>
      <c r="E380" s="6" t="n">
        <v>0.0395770999279752</v>
      </c>
      <c r="F380" s="7" t="n">
        <v>2.69758124400357E-006</v>
      </c>
    </row>
    <row r="381" customFormat="false" ht="15" hidden="false" customHeight="true" outlineLevel="0" collapsed="false">
      <c r="A381" s="5" t="s">
        <v>88</v>
      </c>
      <c r="B381" s="5" t="s">
        <v>75</v>
      </c>
      <c r="C381" s="5" t="s">
        <v>564</v>
      </c>
      <c r="D381" s="6" t="n">
        <v>0.189296583881092</v>
      </c>
      <c r="E381" s="6" t="n">
        <v>0.0395270487410375</v>
      </c>
      <c r="F381" s="7" t="n">
        <v>1.67581787952334E-006</v>
      </c>
    </row>
    <row r="382" customFormat="false" ht="15" hidden="false" customHeight="true" outlineLevel="0" collapsed="false">
      <c r="A382" s="5" t="s">
        <v>88</v>
      </c>
      <c r="B382" s="5" t="s">
        <v>75</v>
      </c>
      <c r="C382" s="5" t="s">
        <v>565</v>
      </c>
      <c r="D382" s="6" t="n">
        <v>0.188408665797139</v>
      </c>
      <c r="E382" s="6" t="n">
        <v>0.0395970692708374</v>
      </c>
      <c r="F382" s="7" t="n">
        <v>1.95378457354879E-006</v>
      </c>
    </row>
    <row r="383" customFormat="false" ht="15" hidden="false" customHeight="true" outlineLevel="0" collapsed="false">
      <c r="A383" s="5" t="s">
        <v>88</v>
      </c>
      <c r="B383" s="5" t="s">
        <v>75</v>
      </c>
      <c r="C383" s="5" t="s">
        <v>566</v>
      </c>
      <c r="D383" s="6" t="n">
        <v>0.185980895910593</v>
      </c>
      <c r="E383" s="6" t="n">
        <v>0.039641556228755</v>
      </c>
      <c r="F383" s="7" t="n">
        <v>2.71124504260718E-006</v>
      </c>
    </row>
    <row r="384" customFormat="false" ht="15" hidden="false" customHeight="true" outlineLevel="0" collapsed="false">
      <c r="A384" s="5" t="s">
        <v>88</v>
      </c>
      <c r="B384" s="5" t="s">
        <v>75</v>
      </c>
      <c r="C384" s="5" t="s">
        <v>567</v>
      </c>
      <c r="D384" s="6" t="n">
        <v>0.188330806017542</v>
      </c>
      <c r="E384" s="6" t="n">
        <v>0.0396054604621807</v>
      </c>
      <c r="F384" s="7" t="n">
        <v>1.98276805915388E-006</v>
      </c>
    </row>
    <row r="385" customFormat="false" ht="15" hidden="false" customHeight="true" outlineLevel="0" collapsed="false">
      <c r="A385" s="5" t="s">
        <v>88</v>
      </c>
      <c r="B385" s="5" t="s">
        <v>75</v>
      </c>
      <c r="C385" s="5" t="s">
        <v>568</v>
      </c>
      <c r="D385" s="6" t="n">
        <v>0.187133840741373</v>
      </c>
      <c r="E385" s="6" t="n">
        <v>0.0396021399949371</v>
      </c>
      <c r="F385" s="7" t="n">
        <v>2.29723104304089E-006</v>
      </c>
    </row>
    <row r="386" customFormat="false" ht="15" hidden="false" customHeight="true" outlineLevel="0" collapsed="false">
      <c r="A386" s="5" t="s">
        <v>88</v>
      </c>
      <c r="B386" s="5" t="s">
        <v>75</v>
      </c>
      <c r="C386" s="5" t="s">
        <v>569</v>
      </c>
      <c r="D386" s="6" t="n">
        <v>0.187084485393743</v>
      </c>
      <c r="E386" s="6" t="n">
        <v>0.0396182098009121</v>
      </c>
      <c r="F386" s="7" t="n">
        <v>2.33325183244232E-006</v>
      </c>
    </row>
    <row r="387" customFormat="false" ht="15" hidden="false" customHeight="true" outlineLevel="0" collapsed="false">
      <c r="A387" s="5" t="s">
        <v>88</v>
      </c>
      <c r="B387" s="5" t="s">
        <v>75</v>
      </c>
      <c r="C387" s="5" t="s">
        <v>570</v>
      </c>
      <c r="D387" s="6" t="n">
        <v>0.18699571342901</v>
      </c>
      <c r="E387" s="6" t="n">
        <v>0.0396285371111499</v>
      </c>
      <c r="F387" s="7" t="n">
        <v>2.37340784773161E-006</v>
      </c>
    </row>
    <row r="388" customFormat="false" ht="15" hidden="false" customHeight="true" outlineLevel="0" collapsed="false">
      <c r="A388" s="5" t="s">
        <v>88</v>
      </c>
      <c r="B388" s="5" t="s">
        <v>75</v>
      </c>
      <c r="C388" s="5" t="s">
        <v>571</v>
      </c>
      <c r="D388" s="6" t="n">
        <v>0.187029675209984</v>
      </c>
      <c r="E388" s="6" t="n">
        <v>0.0396083151699032</v>
      </c>
      <c r="F388" s="7" t="n">
        <v>2.33559563277325E-006</v>
      </c>
    </row>
    <row r="389" customFormat="false" ht="15" hidden="false" customHeight="true" outlineLevel="0" collapsed="false">
      <c r="A389" s="5" t="s">
        <v>88</v>
      </c>
      <c r="B389" s="5" t="s">
        <v>75</v>
      </c>
      <c r="C389" s="5" t="s">
        <v>572</v>
      </c>
      <c r="D389" s="6" t="n">
        <v>0.187796786908435</v>
      </c>
      <c r="E389" s="6" t="n">
        <v>0.0395994254827556</v>
      </c>
      <c r="F389" s="7" t="n">
        <v>2.11188672568639E-006</v>
      </c>
    </row>
    <row r="390" customFormat="false" ht="15" hidden="false" customHeight="true" outlineLevel="0" collapsed="false">
      <c r="A390" s="5" t="s">
        <v>88</v>
      </c>
      <c r="B390" s="5" t="s">
        <v>75</v>
      </c>
      <c r="C390" s="5" t="s">
        <v>573</v>
      </c>
      <c r="D390" s="6" t="n">
        <v>0.188044291307775</v>
      </c>
      <c r="E390" s="6" t="n">
        <v>0.0395167019278425</v>
      </c>
      <c r="F390" s="7" t="n">
        <v>1.94937535709118E-006</v>
      </c>
    </row>
    <row r="391" customFormat="false" ht="15" hidden="false" customHeight="true" outlineLevel="0" collapsed="false">
      <c r="A391" s="5" t="s">
        <v>88</v>
      </c>
      <c r="B391" s="5" t="s">
        <v>75</v>
      </c>
      <c r="C391" s="5" t="s">
        <v>574</v>
      </c>
      <c r="D391" s="6" t="n">
        <v>0.184005315350281</v>
      </c>
      <c r="E391" s="6" t="n">
        <v>0.0393828910852247</v>
      </c>
      <c r="F391" s="7" t="n">
        <v>2.97969516179716E-006</v>
      </c>
    </row>
    <row r="392" customFormat="false" ht="15" hidden="false" customHeight="true" outlineLevel="0" collapsed="false">
      <c r="A392" s="5" t="s">
        <v>88</v>
      </c>
      <c r="B392" s="5" t="s">
        <v>75</v>
      </c>
      <c r="C392" s="5" t="s">
        <v>575</v>
      </c>
      <c r="D392" s="6" t="n">
        <v>0.187263770563931</v>
      </c>
      <c r="E392" s="6" t="n">
        <v>0.0396123478200647</v>
      </c>
      <c r="F392" s="7" t="n">
        <v>2.27402894616617E-006</v>
      </c>
    </row>
    <row r="393" customFormat="false" ht="15" hidden="false" customHeight="true" outlineLevel="0" collapsed="false">
      <c r="A393" s="5" t="s">
        <v>88</v>
      </c>
      <c r="B393" s="5" t="s">
        <v>75</v>
      </c>
      <c r="C393" s="5" t="s">
        <v>576</v>
      </c>
      <c r="D393" s="6" t="n">
        <v>0.19115421987617</v>
      </c>
      <c r="E393" s="6" t="n">
        <v>0.0395816263206824</v>
      </c>
      <c r="F393" s="7" t="n">
        <v>1.36967416342258E-006</v>
      </c>
    </row>
    <row r="394" customFormat="false" ht="15" hidden="false" customHeight="true" outlineLevel="0" collapsed="false">
      <c r="A394" s="5" t="s">
        <v>88</v>
      </c>
      <c r="B394" s="5" t="s">
        <v>75</v>
      </c>
      <c r="C394" s="5" t="s">
        <v>577</v>
      </c>
      <c r="D394" s="6" t="n">
        <v>0.189389796666399</v>
      </c>
      <c r="E394" s="6" t="n">
        <v>0.0394104333461705</v>
      </c>
      <c r="F394" s="7" t="n">
        <v>1.54307310820877E-006</v>
      </c>
    </row>
    <row r="395" customFormat="false" ht="15" hidden="false" customHeight="true" outlineLevel="0" collapsed="false">
      <c r="A395" s="5" t="s">
        <v>88</v>
      </c>
      <c r="B395" s="5" t="s">
        <v>75</v>
      </c>
      <c r="C395" s="5" t="s">
        <v>578</v>
      </c>
      <c r="D395" s="6" t="n">
        <v>0.185747875375364</v>
      </c>
      <c r="E395" s="6" t="n">
        <v>0.0395783670807937</v>
      </c>
      <c r="F395" s="7" t="n">
        <v>2.69008076986553E-006</v>
      </c>
    </row>
    <row r="396" customFormat="false" ht="15" hidden="false" customHeight="true" outlineLevel="0" collapsed="false">
      <c r="A396" s="5" t="s">
        <v>88</v>
      </c>
      <c r="B396" s="5" t="s">
        <v>75</v>
      </c>
      <c r="C396" s="5" t="s">
        <v>579</v>
      </c>
      <c r="D396" s="6" t="n">
        <v>0.188610996230425</v>
      </c>
      <c r="E396" s="6" t="n">
        <v>0.0395722506044049</v>
      </c>
      <c r="F396" s="7" t="n">
        <v>1.87692077932983E-006</v>
      </c>
    </row>
    <row r="397" customFormat="false" ht="15" hidden="false" customHeight="true" outlineLevel="0" collapsed="false">
      <c r="A397" s="5" t="s">
        <v>88</v>
      </c>
      <c r="B397" s="5" t="s">
        <v>75</v>
      </c>
      <c r="C397" s="5" t="s">
        <v>580</v>
      </c>
      <c r="D397" s="6" t="n">
        <v>0.189259143710772</v>
      </c>
      <c r="E397" s="6" t="n">
        <v>0.0395399453414544</v>
      </c>
      <c r="F397" s="7" t="n">
        <v>1.69689389235362E-006</v>
      </c>
    </row>
    <row r="398" customFormat="false" ht="15" hidden="false" customHeight="true" outlineLevel="0" collapsed="false">
      <c r="A398" s="5" t="s">
        <v>88</v>
      </c>
      <c r="B398" s="5" t="s">
        <v>75</v>
      </c>
      <c r="C398" s="5" t="s">
        <v>581</v>
      </c>
      <c r="D398" s="6" t="n">
        <v>0.18695900745965</v>
      </c>
      <c r="E398" s="6" t="n">
        <v>0.039610275048318</v>
      </c>
      <c r="F398" s="7" t="n">
        <v>2.35888283617301E-006</v>
      </c>
    </row>
    <row r="399" customFormat="false" ht="15" hidden="false" customHeight="true" outlineLevel="0" collapsed="false">
      <c r="A399" s="5" t="s">
        <v>88</v>
      </c>
      <c r="B399" s="5" t="s">
        <v>75</v>
      </c>
      <c r="C399" s="5" t="s">
        <v>582</v>
      </c>
      <c r="D399" s="6" t="n">
        <v>0.193900919055426</v>
      </c>
      <c r="E399" s="6" t="n">
        <v>0.039595753680998</v>
      </c>
      <c r="F399" s="7" t="n">
        <v>9.73044216076403E-007</v>
      </c>
    </row>
    <row r="400" customFormat="false" ht="15" hidden="false" customHeight="true" outlineLevel="0" collapsed="false">
      <c r="A400" s="5" t="s">
        <v>88</v>
      </c>
      <c r="B400" s="5" t="s">
        <v>75</v>
      </c>
      <c r="C400" s="5" t="s">
        <v>583</v>
      </c>
      <c r="D400" s="6" t="n">
        <v>0.187749124060711</v>
      </c>
      <c r="E400" s="6" t="n">
        <v>0.0396114369910614</v>
      </c>
      <c r="F400" s="7" t="n">
        <v>2.13960328514861E-006</v>
      </c>
    </row>
    <row r="401" customFormat="false" ht="15" hidden="false" customHeight="true" outlineLevel="0" collapsed="false">
      <c r="A401" s="5" t="s">
        <v>88</v>
      </c>
      <c r="B401" s="5" t="s">
        <v>75</v>
      </c>
      <c r="C401" s="5" t="s">
        <v>584</v>
      </c>
      <c r="D401" s="6" t="n">
        <v>0.186919580203771</v>
      </c>
      <c r="E401" s="6" t="n">
        <v>0.039647714861474</v>
      </c>
      <c r="F401" s="7" t="n">
        <v>2.42292144835692E-006</v>
      </c>
    </row>
    <row r="402" customFormat="false" ht="15" hidden="false" customHeight="true" outlineLevel="0" collapsed="false">
      <c r="A402" s="5" t="s">
        <v>88</v>
      </c>
      <c r="B402" s="5" t="s">
        <v>75</v>
      </c>
      <c r="C402" s="5" t="s">
        <v>585</v>
      </c>
      <c r="D402" s="6" t="n">
        <v>0.188349037502945</v>
      </c>
      <c r="E402" s="6" t="n">
        <v>0.0395784146061629</v>
      </c>
      <c r="F402" s="7" t="n">
        <v>1.94667396735978E-006</v>
      </c>
    </row>
    <row r="403" customFormat="false" ht="15" hidden="false" customHeight="true" outlineLevel="0" collapsed="false">
      <c r="A403" s="5" t="s">
        <v>88</v>
      </c>
      <c r="B403" s="5" t="s">
        <v>75</v>
      </c>
      <c r="C403" s="5" t="s">
        <v>586</v>
      </c>
      <c r="D403" s="6" t="n">
        <v>0.188934187957306</v>
      </c>
      <c r="E403" s="6" t="n">
        <v>0.0396256696845238</v>
      </c>
      <c r="F403" s="7" t="n">
        <v>1.86087205258142E-006</v>
      </c>
    </row>
    <row r="404" customFormat="false" ht="15" hidden="false" customHeight="true" outlineLevel="0" collapsed="false">
      <c r="A404" s="5" t="s">
        <v>88</v>
      </c>
      <c r="B404" s="5" t="s">
        <v>75</v>
      </c>
      <c r="C404" s="5" t="s">
        <v>587</v>
      </c>
      <c r="D404" s="6" t="n">
        <v>0.188038929767144</v>
      </c>
      <c r="E404" s="6" t="n">
        <v>0.0395508785570004</v>
      </c>
      <c r="F404" s="7" t="n">
        <v>1.9908064808337E-006</v>
      </c>
    </row>
    <row r="405" customFormat="false" ht="15" hidden="false" customHeight="true" outlineLevel="0" collapsed="false">
      <c r="A405" s="5" t="s">
        <v>88</v>
      </c>
      <c r="B405" s="5" t="s">
        <v>75</v>
      </c>
      <c r="C405" s="5" t="s">
        <v>588</v>
      </c>
      <c r="D405" s="6" t="n">
        <v>0.187826145952499</v>
      </c>
      <c r="E405" s="6" t="n">
        <v>0.0396087483815364</v>
      </c>
      <c r="F405" s="7" t="n">
        <v>2.11580084825658E-006</v>
      </c>
    </row>
    <row r="406" customFormat="false" ht="15" hidden="false" customHeight="true" outlineLevel="0" collapsed="false">
      <c r="A406" s="5" t="s">
        <v>88</v>
      </c>
      <c r="B406" s="5" t="s">
        <v>75</v>
      </c>
      <c r="C406" s="5" t="s">
        <v>589</v>
      </c>
      <c r="D406" s="6" t="n">
        <v>0.187108767793537</v>
      </c>
      <c r="E406" s="6" t="n">
        <v>0.0396282511282863</v>
      </c>
      <c r="F406" s="7" t="n">
        <v>2.33996031569291E-006</v>
      </c>
    </row>
    <row r="407" customFormat="false" ht="15" hidden="false" customHeight="true" outlineLevel="0" collapsed="false">
      <c r="A407" s="5" t="s">
        <v>88</v>
      </c>
      <c r="B407" s="5" t="s">
        <v>75</v>
      </c>
      <c r="C407" s="5" t="s">
        <v>590</v>
      </c>
      <c r="D407" s="6" t="n">
        <v>0.186098270544066</v>
      </c>
      <c r="E407" s="6" t="n">
        <v>0.0395490482313067</v>
      </c>
      <c r="F407" s="7" t="n">
        <v>2.53237471294299E-006</v>
      </c>
    </row>
    <row r="408" customFormat="false" ht="15" hidden="false" customHeight="true" outlineLevel="0" collapsed="false">
      <c r="A408" s="5" t="s">
        <v>88</v>
      </c>
      <c r="B408" s="5" t="s">
        <v>75</v>
      </c>
      <c r="C408" s="5" t="s">
        <v>591</v>
      </c>
      <c r="D408" s="6" t="n">
        <v>0.186656760291918</v>
      </c>
      <c r="E408" s="6" t="n">
        <v>0.0395938607826298</v>
      </c>
      <c r="F408" s="7" t="n">
        <v>2.42560474334244E-006</v>
      </c>
    </row>
    <row r="409" customFormat="false" ht="15" hidden="false" customHeight="true" outlineLevel="0" collapsed="false">
      <c r="A409" s="5" t="s">
        <v>88</v>
      </c>
      <c r="B409" s="5" t="s">
        <v>75</v>
      </c>
      <c r="C409" s="5" t="s">
        <v>592</v>
      </c>
      <c r="D409" s="6" t="n">
        <v>0.186281136131356</v>
      </c>
      <c r="E409" s="6" t="n">
        <v>0.0395199685389091</v>
      </c>
      <c r="F409" s="7" t="n">
        <v>2.43383871593343E-006</v>
      </c>
    </row>
    <row r="410" customFormat="false" ht="15" hidden="false" customHeight="true" outlineLevel="0" collapsed="false">
      <c r="A410" s="5" t="s">
        <v>88</v>
      </c>
      <c r="B410" s="5" t="s">
        <v>75</v>
      </c>
      <c r="C410" s="5" t="s">
        <v>593</v>
      </c>
      <c r="D410" s="6" t="n">
        <v>0.186819970565508</v>
      </c>
      <c r="E410" s="6" t="n">
        <v>0.0395876255268349</v>
      </c>
      <c r="F410" s="7" t="n">
        <v>2.36831333379543E-006</v>
      </c>
    </row>
    <row r="411" customFormat="false" ht="15" hidden="false" customHeight="true" outlineLevel="0" collapsed="false">
      <c r="A411" s="5" t="s">
        <v>88</v>
      </c>
      <c r="B411" s="5" t="s">
        <v>75</v>
      </c>
      <c r="C411" s="5" t="s">
        <v>594</v>
      </c>
      <c r="D411" s="6" t="n">
        <v>0.186339133522571</v>
      </c>
      <c r="E411" s="6" t="n">
        <v>0.039331050315835</v>
      </c>
      <c r="F411" s="7" t="n">
        <v>2.16146197413873E-006</v>
      </c>
    </row>
    <row r="412" customFormat="false" ht="15" hidden="false" customHeight="true" outlineLevel="0" collapsed="false">
      <c r="A412" s="5" t="s">
        <v>88</v>
      </c>
      <c r="B412" s="5" t="s">
        <v>75</v>
      </c>
      <c r="C412" s="5" t="s">
        <v>595</v>
      </c>
      <c r="D412" s="6" t="n">
        <v>0.188993181611327</v>
      </c>
      <c r="E412" s="6" t="n">
        <v>0.0395290887798905</v>
      </c>
      <c r="F412" s="7" t="n">
        <v>1.74324231086875E-006</v>
      </c>
    </row>
    <row r="413" customFormat="false" ht="15" hidden="false" customHeight="true" outlineLevel="0" collapsed="false">
      <c r="A413" s="5" t="s">
        <v>88</v>
      </c>
      <c r="B413" s="5" t="s">
        <v>75</v>
      </c>
      <c r="C413" s="5" t="s">
        <v>596</v>
      </c>
      <c r="D413" s="6" t="n">
        <v>0.186681971145556</v>
      </c>
      <c r="E413" s="6" t="n">
        <v>0.039605625321129</v>
      </c>
      <c r="F413" s="7" t="n">
        <v>2.43471881334797E-006</v>
      </c>
    </row>
    <row r="414" customFormat="false" ht="15" hidden="false" customHeight="true" outlineLevel="0" collapsed="false">
      <c r="A414" s="5" t="s">
        <v>88</v>
      </c>
      <c r="B414" s="5" t="s">
        <v>75</v>
      </c>
      <c r="C414" s="5" t="s">
        <v>597</v>
      </c>
      <c r="D414" s="6" t="n">
        <v>0.189398226906024</v>
      </c>
      <c r="E414" s="6" t="n">
        <v>0.0395637132564717</v>
      </c>
      <c r="F414" s="7" t="n">
        <v>1.69149426553616E-006</v>
      </c>
    </row>
    <row r="415" customFormat="false" ht="15" hidden="false" customHeight="true" outlineLevel="0" collapsed="false">
      <c r="A415" s="5" t="s">
        <v>88</v>
      </c>
      <c r="B415" s="5" t="s">
        <v>75</v>
      </c>
      <c r="C415" s="5" t="s">
        <v>598</v>
      </c>
      <c r="D415" s="6" t="n">
        <v>0.17569339785627</v>
      </c>
      <c r="E415" s="6" t="n">
        <v>0.0395072654885355</v>
      </c>
      <c r="F415" s="7" t="n">
        <v>8.70307906627325E-006</v>
      </c>
    </row>
    <row r="416" customFormat="false" ht="15" hidden="false" customHeight="true" outlineLevel="0" collapsed="false">
      <c r="A416" s="5" t="s">
        <v>88</v>
      </c>
      <c r="B416" s="5" t="s">
        <v>75</v>
      </c>
      <c r="C416" s="5" t="s">
        <v>599</v>
      </c>
      <c r="D416" s="6" t="n">
        <v>0.191543814709014</v>
      </c>
      <c r="E416" s="6" t="n">
        <v>0.0394850473938104</v>
      </c>
      <c r="F416" s="7" t="n">
        <v>1.2281153081517E-006</v>
      </c>
    </row>
    <row r="417" customFormat="false" ht="15" hidden="false" customHeight="true" outlineLevel="0" collapsed="false">
      <c r="A417" s="5" t="s">
        <v>88</v>
      </c>
      <c r="B417" s="5" t="s">
        <v>75</v>
      </c>
      <c r="C417" s="5" t="s">
        <v>600</v>
      </c>
      <c r="D417" s="6" t="n">
        <v>0.182968288153004</v>
      </c>
      <c r="E417" s="6" t="n">
        <v>0.039423022137838</v>
      </c>
      <c r="F417" s="7" t="n">
        <v>3.46470004545009E-006</v>
      </c>
    </row>
    <row r="418" customFormat="false" ht="15" hidden="false" customHeight="true" outlineLevel="0" collapsed="false">
      <c r="A418" s="5" t="s">
        <v>88</v>
      </c>
      <c r="B418" s="5" t="s">
        <v>75</v>
      </c>
      <c r="C418" s="5" t="s">
        <v>601</v>
      </c>
      <c r="D418" s="6" t="n">
        <v>0.187095865925489</v>
      </c>
      <c r="E418" s="6" t="n">
        <v>0.0395829003234914</v>
      </c>
      <c r="F418" s="7" t="n">
        <v>2.28215873984892E-006</v>
      </c>
    </row>
    <row r="419" customFormat="false" ht="15" hidden="false" customHeight="true" outlineLevel="0" collapsed="false">
      <c r="A419" s="5" t="s">
        <v>88</v>
      </c>
      <c r="B419" s="5" t="s">
        <v>75</v>
      </c>
      <c r="C419" s="5" t="s">
        <v>602</v>
      </c>
      <c r="D419" s="6" t="n">
        <v>0.186811587284166</v>
      </c>
      <c r="E419" s="6" t="n">
        <v>0.0395667091053103</v>
      </c>
      <c r="F419" s="7" t="n">
        <v>2.34188160197841E-006</v>
      </c>
    </row>
    <row r="420" customFormat="false" ht="15" hidden="false" customHeight="true" outlineLevel="0" collapsed="false">
      <c r="A420" s="5" t="s">
        <v>88</v>
      </c>
      <c r="B420" s="5" t="s">
        <v>75</v>
      </c>
      <c r="C420" s="5" t="s">
        <v>603</v>
      </c>
      <c r="D420" s="6" t="n">
        <v>0.187722523874949</v>
      </c>
      <c r="E420" s="6" t="n">
        <v>0.0396226386671521</v>
      </c>
      <c r="F420" s="7" t="n">
        <v>2.16094288357122E-006</v>
      </c>
    </row>
    <row r="421" customFormat="false" ht="15" hidden="false" customHeight="true" outlineLevel="0" collapsed="false">
      <c r="A421" s="5" t="s">
        <v>88</v>
      </c>
      <c r="B421" s="5" t="s">
        <v>75</v>
      </c>
      <c r="C421" s="5" t="s">
        <v>604</v>
      </c>
      <c r="D421" s="6" t="n">
        <v>0.184456475375269</v>
      </c>
      <c r="E421" s="6" t="n">
        <v>0.0395629533333295</v>
      </c>
      <c r="F421" s="7" t="n">
        <v>3.1261355891096E-006</v>
      </c>
    </row>
    <row r="422" customFormat="false" ht="15" hidden="false" customHeight="true" outlineLevel="0" collapsed="false">
      <c r="A422" s="5" t="s">
        <v>88</v>
      </c>
      <c r="B422" s="5" t="s">
        <v>75</v>
      </c>
      <c r="C422" s="5" t="s">
        <v>605</v>
      </c>
      <c r="D422" s="6" t="n">
        <v>0.186419214679112</v>
      </c>
      <c r="E422" s="6" t="n">
        <v>0.0395735152802434</v>
      </c>
      <c r="F422" s="7" t="n">
        <v>2.46859559196559E-006</v>
      </c>
    </row>
    <row r="423" customFormat="false" ht="15" hidden="false" customHeight="true" outlineLevel="0" collapsed="false">
      <c r="A423" s="5" t="s">
        <v>88</v>
      </c>
      <c r="B423" s="5" t="s">
        <v>75</v>
      </c>
      <c r="C423" s="5" t="s">
        <v>606</v>
      </c>
      <c r="D423" s="6" t="n">
        <v>0.18682428203172</v>
      </c>
      <c r="E423" s="6" t="n">
        <v>0.0396112690883043</v>
      </c>
      <c r="F423" s="7" t="n">
        <v>2.40003885566665E-006</v>
      </c>
    </row>
    <row r="424" customFormat="false" ht="15" hidden="false" customHeight="true" outlineLevel="0" collapsed="false">
      <c r="A424" s="5" t="s">
        <v>88</v>
      </c>
      <c r="B424" s="5" t="s">
        <v>75</v>
      </c>
      <c r="C424" s="5" t="s">
        <v>607</v>
      </c>
      <c r="D424" s="6" t="n">
        <v>0.187866936972787</v>
      </c>
      <c r="E424" s="6" t="n">
        <v>0.0396840474596245</v>
      </c>
      <c r="F424" s="7" t="n">
        <v>2.20065098323037E-006</v>
      </c>
    </row>
    <row r="425" customFormat="false" ht="15" hidden="false" customHeight="true" outlineLevel="0" collapsed="false">
      <c r="A425" s="5" t="s">
        <v>88</v>
      </c>
      <c r="B425" s="5" t="s">
        <v>75</v>
      </c>
      <c r="C425" s="5" t="s">
        <v>608</v>
      </c>
      <c r="D425" s="6" t="n">
        <v>0.188172175855486</v>
      </c>
      <c r="E425" s="6" t="n">
        <v>0.0395728115437042</v>
      </c>
      <c r="F425" s="7" t="n">
        <v>1.98360625845747E-006</v>
      </c>
    </row>
    <row r="426" customFormat="false" ht="15" hidden="false" customHeight="true" outlineLevel="0" collapsed="false">
      <c r="A426" s="5" t="s">
        <v>88</v>
      </c>
      <c r="B426" s="5" t="s">
        <v>75</v>
      </c>
      <c r="C426" s="5" t="s">
        <v>609</v>
      </c>
      <c r="D426" s="6" t="n">
        <v>0.189295423037084</v>
      </c>
      <c r="E426" s="6" t="n">
        <v>0.0395945287940053</v>
      </c>
      <c r="F426" s="7" t="n">
        <v>1.74557325777184E-006</v>
      </c>
    </row>
    <row r="427" customFormat="false" ht="15" hidden="false" customHeight="true" outlineLevel="0" collapsed="false">
      <c r="A427" s="5" t="s">
        <v>88</v>
      </c>
      <c r="B427" s="5" t="s">
        <v>75</v>
      </c>
      <c r="C427" s="5" t="s">
        <v>610</v>
      </c>
      <c r="D427" s="6" t="n">
        <v>0.18927038138423</v>
      </c>
      <c r="E427" s="6" t="n">
        <v>0.0395836934712802</v>
      </c>
      <c r="F427" s="7" t="n">
        <v>1.73971205445678E-006</v>
      </c>
    </row>
    <row r="428" customFormat="false" ht="15" hidden="false" customHeight="true" outlineLevel="0" collapsed="false">
      <c r="A428" s="5" t="s">
        <v>88</v>
      </c>
      <c r="B428" s="5" t="s">
        <v>75</v>
      </c>
      <c r="C428" s="5" t="s">
        <v>611</v>
      </c>
      <c r="D428" s="6" t="n">
        <v>0.185476665732731</v>
      </c>
      <c r="E428" s="6" t="n">
        <v>0.039601926659924</v>
      </c>
      <c r="F428" s="7" t="n">
        <v>2.8198123031304E-006</v>
      </c>
    </row>
    <row r="429" customFormat="false" ht="15" hidden="false" customHeight="true" outlineLevel="0" collapsed="false">
      <c r="A429" s="5" t="s">
        <v>88</v>
      </c>
      <c r="B429" s="5" t="s">
        <v>75</v>
      </c>
      <c r="C429" s="5" t="s">
        <v>612</v>
      </c>
      <c r="D429" s="6" t="n">
        <v>0.186369308924387</v>
      </c>
      <c r="E429" s="6" t="n">
        <v>0.039615213817925</v>
      </c>
      <c r="F429" s="7" t="n">
        <v>2.54503491513512E-006</v>
      </c>
    </row>
    <row r="430" customFormat="false" ht="15" hidden="false" customHeight="true" outlineLevel="0" collapsed="false">
      <c r="A430" s="5" t="s">
        <v>88</v>
      </c>
      <c r="B430" s="5" t="s">
        <v>75</v>
      </c>
      <c r="C430" s="5" t="s">
        <v>613</v>
      </c>
      <c r="D430" s="6" t="n">
        <v>0.187157812384889</v>
      </c>
      <c r="E430" s="6" t="n">
        <v>0.0395978035269701</v>
      </c>
      <c r="F430" s="7" t="n">
        <v>2.2845703852584E-006</v>
      </c>
    </row>
    <row r="431" customFormat="false" ht="15" hidden="false" customHeight="true" outlineLevel="0" collapsed="false">
      <c r="A431" s="5" t="s">
        <v>88</v>
      </c>
      <c r="B431" s="5" t="s">
        <v>75</v>
      </c>
      <c r="C431" s="5" t="s">
        <v>614</v>
      </c>
      <c r="D431" s="6" t="n">
        <v>0.185333378879637</v>
      </c>
      <c r="E431" s="6" t="n">
        <v>0.039616334455448</v>
      </c>
      <c r="F431" s="7" t="n">
        <v>2.89395541898677E-006</v>
      </c>
    </row>
    <row r="432" customFormat="false" ht="15" hidden="false" customHeight="true" outlineLevel="0" collapsed="false">
      <c r="A432" s="5" t="s">
        <v>88</v>
      </c>
      <c r="B432" s="5" t="s">
        <v>75</v>
      </c>
      <c r="C432" s="5" t="s">
        <v>615</v>
      </c>
      <c r="D432" s="6" t="n">
        <v>0.187663987664547</v>
      </c>
      <c r="E432" s="6" t="n">
        <v>0.0395724246775956</v>
      </c>
      <c r="F432" s="7" t="n">
        <v>2.11313885380614E-006</v>
      </c>
    </row>
    <row r="433" customFormat="false" ht="15" hidden="false" customHeight="true" outlineLevel="0" collapsed="false">
      <c r="A433" s="5" t="s">
        <v>88</v>
      </c>
      <c r="B433" s="5" t="s">
        <v>75</v>
      </c>
      <c r="C433" s="5" t="s">
        <v>616</v>
      </c>
      <c r="D433" s="6" t="n">
        <v>0.188637142580225</v>
      </c>
      <c r="E433" s="6" t="n">
        <v>0.0395363875114091</v>
      </c>
      <c r="F433" s="7" t="n">
        <v>1.83105587133919E-006</v>
      </c>
    </row>
    <row r="434" customFormat="false" ht="15" hidden="false" customHeight="true" outlineLevel="0" collapsed="false">
      <c r="A434" s="5" t="s">
        <v>88</v>
      </c>
      <c r="B434" s="5" t="s">
        <v>75</v>
      </c>
      <c r="C434" s="5" t="s">
        <v>617</v>
      </c>
      <c r="D434" s="6" t="n">
        <v>0.187980088247266</v>
      </c>
      <c r="E434" s="6" t="n">
        <v>0.0395727093998174</v>
      </c>
      <c r="F434" s="7" t="n">
        <v>2.03169754827361E-006</v>
      </c>
    </row>
    <row r="435" customFormat="false" ht="15" hidden="false" customHeight="true" outlineLevel="0" collapsed="false">
      <c r="A435" s="5" t="s">
        <v>88</v>
      </c>
      <c r="B435" s="5" t="s">
        <v>75</v>
      </c>
      <c r="C435" s="5" t="s">
        <v>618</v>
      </c>
      <c r="D435" s="6" t="n">
        <v>0.18624125930123</v>
      </c>
      <c r="E435" s="6" t="n">
        <v>0.0396201210215381</v>
      </c>
      <c r="F435" s="7" t="n">
        <v>2.5930462847999E-006</v>
      </c>
    </row>
    <row r="436" customFormat="false" ht="15" hidden="false" customHeight="true" outlineLevel="0" collapsed="false">
      <c r="A436" s="5" t="s">
        <v>88</v>
      </c>
      <c r="B436" s="5" t="s">
        <v>75</v>
      </c>
      <c r="C436" s="5" t="s">
        <v>619</v>
      </c>
      <c r="D436" s="6" t="n">
        <v>0.188982883750004</v>
      </c>
      <c r="E436" s="6" t="n">
        <v>0.0396420849752623</v>
      </c>
      <c r="F436" s="7" t="n">
        <v>1.86777287193862E-006</v>
      </c>
    </row>
    <row r="437" customFormat="false" ht="15" hidden="false" customHeight="true" outlineLevel="0" collapsed="false">
      <c r="A437" s="5" t="s">
        <v>88</v>
      </c>
      <c r="B437" s="5" t="s">
        <v>75</v>
      </c>
      <c r="C437" s="5" t="s">
        <v>620</v>
      </c>
      <c r="D437" s="6" t="n">
        <v>0.18626031960255</v>
      </c>
      <c r="E437" s="6" t="n">
        <v>0.0395271850085818</v>
      </c>
      <c r="F437" s="7" t="n">
        <v>2.45047000898491E-006</v>
      </c>
    </row>
    <row r="438" customFormat="false" ht="15" hidden="false" customHeight="true" outlineLevel="0" collapsed="false">
      <c r="A438" s="5" t="s">
        <v>88</v>
      </c>
      <c r="B438" s="5" t="s">
        <v>75</v>
      </c>
      <c r="C438" s="5" t="s">
        <v>621</v>
      </c>
      <c r="D438" s="6" t="n">
        <v>0.185884019552429</v>
      </c>
      <c r="E438" s="6" t="n">
        <v>0.0395685528931436</v>
      </c>
      <c r="F438" s="7" t="n">
        <v>2.63015456565271E-006</v>
      </c>
    </row>
    <row r="439" customFormat="false" ht="15" hidden="false" customHeight="true" outlineLevel="0" collapsed="false">
      <c r="A439" s="5" t="s">
        <v>88</v>
      </c>
      <c r="B439" s="5" t="s">
        <v>75</v>
      </c>
      <c r="C439" s="5" t="s">
        <v>622</v>
      </c>
      <c r="D439" s="6" t="n">
        <v>0.188533201359309</v>
      </c>
      <c r="E439" s="6" t="n">
        <v>0.0395760190908842</v>
      </c>
      <c r="F439" s="7" t="n">
        <v>1.89957924863129E-006</v>
      </c>
    </row>
    <row r="440" customFormat="false" ht="15" hidden="false" customHeight="true" outlineLevel="0" collapsed="false">
      <c r="A440" s="5" t="s">
        <v>88</v>
      </c>
      <c r="B440" s="5" t="s">
        <v>75</v>
      </c>
      <c r="C440" s="5" t="s">
        <v>623</v>
      </c>
      <c r="D440" s="6" t="n">
        <v>0.18739649780472</v>
      </c>
      <c r="E440" s="6" t="n">
        <v>0.0396018002453018</v>
      </c>
      <c r="F440" s="7" t="n">
        <v>2.22296863393555E-006</v>
      </c>
    </row>
    <row r="441" customFormat="false" ht="15" hidden="false" customHeight="true" outlineLevel="0" collapsed="false">
      <c r="A441" s="5" t="s">
        <v>88</v>
      </c>
      <c r="B441" s="5" t="s">
        <v>75</v>
      </c>
      <c r="C441" s="5" t="s">
        <v>624</v>
      </c>
      <c r="D441" s="6" t="n">
        <v>0.185855628497993</v>
      </c>
      <c r="E441" s="6" t="n">
        <v>0.0394189637014133</v>
      </c>
      <c r="F441" s="7" t="n">
        <v>2.41854902427845E-006</v>
      </c>
    </row>
    <row r="442" customFormat="false" ht="15" hidden="false" customHeight="true" outlineLevel="0" collapsed="false">
      <c r="A442" s="5" t="s">
        <v>88</v>
      </c>
      <c r="B442" s="5" t="s">
        <v>75</v>
      </c>
      <c r="C442" s="5" t="s">
        <v>625</v>
      </c>
      <c r="D442" s="6" t="n">
        <v>0.188985283680958</v>
      </c>
      <c r="E442" s="6" t="n">
        <v>0.0395600119303811</v>
      </c>
      <c r="F442" s="7" t="n">
        <v>1.77770947079816E-006</v>
      </c>
    </row>
    <row r="443" customFormat="false" ht="15" hidden="false" customHeight="true" outlineLevel="0" collapsed="false">
      <c r="A443" s="5" t="s">
        <v>88</v>
      </c>
      <c r="B443" s="5" t="s">
        <v>75</v>
      </c>
      <c r="C443" s="5" t="s">
        <v>626</v>
      </c>
      <c r="D443" s="6" t="n">
        <v>0.182979728037988</v>
      </c>
      <c r="E443" s="6" t="n">
        <v>0.0394513288112012</v>
      </c>
      <c r="F443" s="7" t="n">
        <v>3.51604245577791E-006</v>
      </c>
    </row>
    <row r="444" customFormat="false" ht="15" hidden="false" customHeight="true" outlineLevel="0" collapsed="false">
      <c r="A444" s="5" t="s">
        <v>88</v>
      </c>
      <c r="B444" s="5" t="s">
        <v>75</v>
      </c>
      <c r="C444" s="5" t="s">
        <v>627</v>
      </c>
      <c r="D444" s="6" t="n">
        <v>0.187466652358766</v>
      </c>
      <c r="E444" s="6" t="n">
        <v>0.0396164547652059</v>
      </c>
      <c r="F444" s="7" t="n">
        <v>2.22274493165877E-006</v>
      </c>
    </row>
    <row r="445" customFormat="false" ht="15" hidden="false" customHeight="true" outlineLevel="0" collapsed="false">
      <c r="A445" s="5" t="s">
        <v>88</v>
      </c>
      <c r="B445" s="5" t="s">
        <v>75</v>
      </c>
      <c r="C445" s="5" t="s">
        <v>628</v>
      </c>
      <c r="D445" s="6" t="n">
        <v>0.192307137321204</v>
      </c>
      <c r="E445" s="6" t="n">
        <v>0.0399219600621508</v>
      </c>
      <c r="F445" s="7" t="n">
        <v>1.45676817577383E-006</v>
      </c>
    </row>
    <row r="446" customFormat="false" ht="15" hidden="false" customHeight="true" outlineLevel="0" collapsed="false">
      <c r="A446" s="5" t="s">
        <v>88</v>
      </c>
      <c r="B446" s="5" t="s">
        <v>75</v>
      </c>
      <c r="C446" s="5" t="s">
        <v>629</v>
      </c>
      <c r="D446" s="6" t="n">
        <v>0.18918184957713</v>
      </c>
      <c r="E446" s="6" t="n">
        <v>0.0396039447363094</v>
      </c>
      <c r="F446" s="7" t="n">
        <v>1.78068169878029E-006</v>
      </c>
    </row>
    <row r="447" customFormat="false" ht="15" hidden="false" customHeight="true" outlineLevel="0" collapsed="false">
      <c r="A447" s="5" t="s">
        <v>88</v>
      </c>
      <c r="B447" s="5" t="s">
        <v>75</v>
      </c>
      <c r="C447" s="5" t="s">
        <v>630</v>
      </c>
      <c r="D447" s="6" t="n">
        <v>0.187868906149759</v>
      </c>
      <c r="E447" s="6" t="n">
        <v>0.0395986945434182</v>
      </c>
      <c r="F447" s="7" t="n">
        <v>2.09207189033924E-006</v>
      </c>
    </row>
    <row r="448" customFormat="false" ht="15" hidden="false" customHeight="true" outlineLevel="0" collapsed="false">
      <c r="A448" s="5" t="s">
        <v>88</v>
      </c>
      <c r="B448" s="5" t="s">
        <v>75</v>
      </c>
      <c r="C448" s="5" t="s">
        <v>631</v>
      </c>
      <c r="D448" s="6" t="n">
        <v>0.186647727362382</v>
      </c>
      <c r="E448" s="6" t="n">
        <v>0.0396005108270062</v>
      </c>
      <c r="F448" s="7" t="n">
        <v>2.43778054511945E-006</v>
      </c>
    </row>
    <row r="449" customFormat="false" ht="15" hidden="false" customHeight="true" outlineLevel="0" collapsed="false">
      <c r="A449" s="5" t="s">
        <v>88</v>
      </c>
      <c r="B449" s="5" t="s">
        <v>75</v>
      </c>
      <c r="C449" s="5" t="s">
        <v>632</v>
      </c>
      <c r="D449" s="6" t="n">
        <v>0.187427251733944</v>
      </c>
      <c r="E449" s="6" t="n">
        <v>0.0396255390275252</v>
      </c>
      <c r="F449" s="7" t="n">
        <v>2.24563041183396E-006</v>
      </c>
    </row>
    <row r="450" customFormat="false" ht="15" hidden="false" customHeight="true" outlineLevel="0" collapsed="false">
      <c r="A450" s="5" t="s">
        <v>88</v>
      </c>
      <c r="B450" s="5" t="s">
        <v>75</v>
      </c>
      <c r="C450" s="5" t="s">
        <v>633</v>
      </c>
      <c r="D450" s="6" t="n">
        <v>0.189694280742373</v>
      </c>
      <c r="E450" s="6" t="n">
        <v>0.0394571771170916</v>
      </c>
      <c r="F450" s="7" t="n">
        <v>1.52753866148003E-006</v>
      </c>
    </row>
    <row r="451" customFormat="false" ht="15" hidden="false" customHeight="true" outlineLevel="0" collapsed="false">
      <c r="A451" s="5" t="s">
        <v>88</v>
      </c>
      <c r="B451" s="5" t="s">
        <v>75</v>
      </c>
      <c r="C451" s="5" t="s">
        <v>634</v>
      </c>
      <c r="D451" s="6" t="n">
        <v>0.186431109472301</v>
      </c>
      <c r="E451" s="6" t="n">
        <v>0.0396167081658848</v>
      </c>
      <c r="F451" s="7" t="n">
        <v>2.52784603385449E-006</v>
      </c>
    </row>
    <row r="452" customFormat="false" ht="15" hidden="false" customHeight="true" outlineLevel="0" collapsed="false">
      <c r="A452" s="5" t="s">
        <v>88</v>
      </c>
      <c r="B452" s="5" t="s">
        <v>75</v>
      </c>
      <c r="C452" s="5" t="s">
        <v>635</v>
      </c>
      <c r="D452" s="6" t="n">
        <v>0.185678611699052</v>
      </c>
      <c r="E452" s="6" t="n">
        <v>0.0395598327084827</v>
      </c>
      <c r="F452" s="7" t="n">
        <v>2.68419398539947E-006</v>
      </c>
    </row>
    <row r="453" customFormat="false" ht="15" hidden="false" customHeight="true" outlineLevel="0" collapsed="false">
      <c r="A453" s="5" t="s">
        <v>88</v>
      </c>
      <c r="B453" s="5" t="s">
        <v>75</v>
      </c>
      <c r="C453" s="5" t="s">
        <v>636</v>
      </c>
      <c r="D453" s="6" t="n">
        <v>0.19082117738854</v>
      </c>
      <c r="E453" s="6" t="n">
        <v>0.0395659939460603</v>
      </c>
      <c r="F453" s="7" t="n">
        <v>1.41515595731325E-006</v>
      </c>
    </row>
    <row r="454" customFormat="false" ht="15" hidden="false" customHeight="true" outlineLevel="0" collapsed="false">
      <c r="A454" s="5" t="s">
        <v>88</v>
      </c>
      <c r="B454" s="5" t="s">
        <v>75</v>
      </c>
      <c r="C454" s="5" t="s">
        <v>637</v>
      </c>
      <c r="D454" s="6" t="n">
        <v>0.187898582770214</v>
      </c>
      <c r="E454" s="6" t="n">
        <v>0.0396051700508468</v>
      </c>
      <c r="F454" s="7" t="n">
        <v>2.09234464070304E-006</v>
      </c>
    </row>
    <row r="455" customFormat="false" ht="15" hidden="false" customHeight="true" outlineLevel="0" collapsed="false">
      <c r="A455" s="5" t="s">
        <v>88</v>
      </c>
      <c r="B455" s="5" t="s">
        <v>75</v>
      </c>
      <c r="C455" s="5" t="s">
        <v>638</v>
      </c>
      <c r="D455" s="6" t="n">
        <v>0.185921899851399</v>
      </c>
      <c r="E455" s="6" t="n">
        <v>0.0400685951021784</v>
      </c>
      <c r="F455" s="7" t="n">
        <v>3.48256951811287E-006</v>
      </c>
    </row>
    <row r="456" customFormat="false" ht="15" hidden="false" customHeight="true" outlineLevel="0" collapsed="false">
      <c r="A456" s="5" t="s">
        <v>88</v>
      </c>
      <c r="B456" s="5" t="s">
        <v>75</v>
      </c>
      <c r="C456" s="5" t="s">
        <v>639</v>
      </c>
      <c r="D456" s="6" t="n">
        <v>0.189634514433733</v>
      </c>
      <c r="E456" s="6" t="n">
        <v>0.0394945883877896</v>
      </c>
      <c r="F456" s="7" t="n">
        <v>1.57456649983015E-006</v>
      </c>
    </row>
    <row r="457" customFormat="false" ht="15" hidden="false" customHeight="true" outlineLevel="0" collapsed="false">
      <c r="A457" s="5" t="s">
        <v>88</v>
      </c>
      <c r="B457" s="5" t="s">
        <v>75</v>
      </c>
      <c r="C457" s="5" t="s">
        <v>640</v>
      </c>
      <c r="D457" s="6" t="n">
        <v>0.187110713444699</v>
      </c>
      <c r="E457" s="6" t="n">
        <v>0.0396024703710307</v>
      </c>
      <c r="F457" s="7" t="n">
        <v>2.30428920966728E-006</v>
      </c>
    </row>
    <row r="458" customFormat="false" ht="15" hidden="false" customHeight="true" outlineLevel="0" collapsed="false">
      <c r="A458" s="5" t="s">
        <v>88</v>
      </c>
      <c r="B458" s="5" t="s">
        <v>75</v>
      </c>
      <c r="C458" s="5" t="s">
        <v>641</v>
      </c>
      <c r="D458" s="6" t="n">
        <v>0.187752341051515</v>
      </c>
      <c r="E458" s="6" t="n">
        <v>0.0395776191541536</v>
      </c>
      <c r="F458" s="7" t="n">
        <v>2.0964044448431E-006</v>
      </c>
    </row>
    <row r="459" customFormat="false" ht="15" hidden="false" customHeight="true" outlineLevel="0" collapsed="false">
      <c r="A459" s="5" t="s">
        <v>88</v>
      </c>
      <c r="B459" s="5" t="s">
        <v>75</v>
      </c>
      <c r="C459" s="5" t="s">
        <v>642</v>
      </c>
      <c r="D459" s="6" t="n">
        <v>0.189351538912246</v>
      </c>
      <c r="E459" s="6" t="n">
        <v>0.0396191643162724</v>
      </c>
      <c r="F459" s="7" t="n">
        <v>1.75913911178937E-006</v>
      </c>
    </row>
    <row r="460" customFormat="false" ht="15" hidden="false" customHeight="true" outlineLevel="0" collapsed="false">
      <c r="A460" s="5" t="s">
        <v>88</v>
      </c>
      <c r="B460" s="5" t="s">
        <v>75</v>
      </c>
      <c r="C460" s="5" t="s">
        <v>643</v>
      </c>
      <c r="D460" s="6" t="n">
        <v>0.187393436648257</v>
      </c>
      <c r="E460" s="6" t="n">
        <v>0.0395803971963724</v>
      </c>
      <c r="F460" s="7" t="n">
        <v>2.19594509942829E-006</v>
      </c>
    </row>
    <row r="461" customFormat="false" ht="15" hidden="false" customHeight="true" outlineLevel="0" collapsed="false">
      <c r="A461" s="5" t="s">
        <v>88</v>
      </c>
      <c r="B461" s="5" t="s">
        <v>75</v>
      </c>
      <c r="C461" s="5" t="s">
        <v>644</v>
      </c>
      <c r="D461" s="6" t="n">
        <v>0.187622528604191</v>
      </c>
      <c r="E461" s="6" t="n">
        <v>0.0395779280556901</v>
      </c>
      <c r="F461" s="7" t="n">
        <v>2.13102118349202E-006</v>
      </c>
    </row>
    <row r="462" customFormat="false" ht="15" hidden="false" customHeight="true" outlineLevel="0" collapsed="false">
      <c r="A462" s="5" t="s">
        <v>88</v>
      </c>
      <c r="B462" s="5" t="s">
        <v>75</v>
      </c>
      <c r="C462" s="5" t="s">
        <v>645</v>
      </c>
      <c r="D462" s="6" t="n">
        <v>0.187062124012979</v>
      </c>
      <c r="E462" s="6" t="n">
        <v>0.0395925889880714</v>
      </c>
      <c r="F462" s="7" t="n">
        <v>2.30483415150705E-006</v>
      </c>
    </row>
    <row r="463" customFormat="false" ht="15" hidden="false" customHeight="true" outlineLevel="0" collapsed="false">
      <c r="A463" s="5" t="s">
        <v>88</v>
      </c>
      <c r="B463" s="5" t="s">
        <v>75</v>
      </c>
      <c r="C463" s="5" t="s">
        <v>646</v>
      </c>
      <c r="D463" s="6" t="n">
        <v>0.187305232926543</v>
      </c>
      <c r="E463" s="6" t="n">
        <v>0.0396045586655329</v>
      </c>
      <c r="F463" s="7" t="n">
        <v>2.25200209578572E-006</v>
      </c>
    </row>
    <row r="464" customFormat="false" ht="15" hidden="false" customHeight="true" outlineLevel="0" collapsed="false">
      <c r="A464" s="5" t="s">
        <v>88</v>
      </c>
      <c r="B464" s="5" t="s">
        <v>75</v>
      </c>
      <c r="C464" s="5" t="s">
        <v>647</v>
      </c>
      <c r="D464" s="6" t="n">
        <v>0.189577575213686</v>
      </c>
      <c r="E464" s="6" t="n">
        <v>0.039560741961687</v>
      </c>
      <c r="F464" s="7" t="n">
        <v>1.65074892309176E-006</v>
      </c>
    </row>
    <row r="465" customFormat="false" ht="15" hidden="false" customHeight="true" outlineLevel="0" collapsed="false">
      <c r="A465" s="5" t="s">
        <v>88</v>
      </c>
      <c r="B465" s="5" t="s">
        <v>75</v>
      </c>
      <c r="C465" s="5" t="s">
        <v>648</v>
      </c>
      <c r="D465" s="6" t="n">
        <v>0.186166869903205</v>
      </c>
      <c r="E465" s="6" t="n">
        <v>0.0396194058584593</v>
      </c>
      <c r="F465" s="7" t="n">
        <v>2.61590926348533E-006</v>
      </c>
    </row>
    <row r="466" customFormat="false" ht="15" hidden="false" customHeight="true" outlineLevel="0" collapsed="false">
      <c r="A466" s="5" t="s">
        <v>88</v>
      </c>
      <c r="B466" s="5" t="s">
        <v>75</v>
      </c>
      <c r="C466" s="5" t="s">
        <v>649</v>
      </c>
      <c r="D466" s="6" t="n">
        <v>0.190442283780419</v>
      </c>
      <c r="E466" s="6" t="n">
        <v>0.0394651351331374</v>
      </c>
      <c r="F466" s="7" t="n">
        <v>1.39594338611297E-006</v>
      </c>
    </row>
    <row r="467" customFormat="false" ht="15" hidden="false" customHeight="true" outlineLevel="0" collapsed="false">
      <c r="A467" s="5" t="s">
        <v>88</v>
      </c>
      <c r="B467" s="5" t="s">
        <v>75</v>
      </c>
      <c r="C467" s="5" t="s">
        <v>650</v>
      </c>
      <c r="D467" s="6" t="n">
        <v>0.189639162997878</v>
      </c>
      <c r="E467" s="6" t="n">
        <v>0.0396278175085136</v>
      </c>
      <c r="F467" s="7" t="n">
        <v>1.70556993370465E-006</v>
      </c>
    </row>
    <row r="468" customFormat="false" ht="15" hidden="false" customHeight="true" outlineLevel="0" collapsed="false">
      <c r="A468" s="5" t="s">
        <v>88</v>
      </c>
      <c r="B468" s="5" t="s">
        <v>75</v>
      </c>
      <c r="C468" s="5" t="s">
        <v>651</v>
      </c>
      <c r="D468" s="6" t="n">
        <v>0.189450034516578</v>
      </c>
      <c r="E468" s="6" t="n">
        <v>0.0394364232136153</v>
      </c>
      <c r="F468" s="7" t="n">
        <v>1.55576944150112E-006</v>
      </c>
    </row>
    <row r="469" customFormat="false" ht="15" hidden="false" customHeight="true" outlineLevel="0" collapsed="false">
      <c r="A469" s="5" t="s">
        <v>88</v>
      </c>
      <c r="B469" s="5" t="s">
        <v>75</v>
      </c>
      <c r="C469" s="5" t="s">
        <v>652</v>
      </c>
      <c r="D469" s="6" t="n">
        <v>0.185866323165924</v>
      </c>
      <c r="E469" s="6" t="n">
        <v>0.0395582623865119</v>
      </c>
      <c r="F469" s="7" t="n">
        <v>2.62019930538432E-006</v>
      </c>
    </row>
    <row r="470" customFormat="false" ht="15" hidden="false" customHeight="true" outlineLevel="0" collapsed="false">
      <c r="A470" s="5" t="s">
        <v>88</v>
      </c>
      <c r="B470" s="5" t="s">
        <v>75</v>
      </c>
      <c r="C470" s="5" t="s">
        <v>653</v>
      </c>
      <c r="D470" s="6" t="n">
        <v>0.188163009634841</v>
      </c>
      <c r="E470" s="6" t="n">
        <v>0.0395905292676847</v>
      </c>
      <c r="F470" s="7" t="n">
        <v>2.00690439534807E-006</v>
      </c>
    </row>
    <row r="471" customFormat="false" ht="15" hidden="false" customHeight="true" outlineLevel="0" collapsed="false">
      <c r="A471" s="5" t="s">
        <v>88</v>
      </c>
      <c r="B471" s="5" t="s">
        <v>75</v>
      </c>
      <c r="C471" s="5" t="s">
        <v>654</v>
      </c>
      <c r="D471" s="6" t="n">
        <v>0.187357027330704</v>
      </c>
      <c r="E471" s="6" t="n">
        <v>0.0395947741235264</v>
      </c>
      <c r="F471" s="7" t="n">
        <v>2.22469082466624E-006</v>
      </c>
    </row>
    <row r="472" customFormat="false" ht="15" hidden="false" customHeight="true" outlineLevel="0" collapsed="false">
      <c r="A472" s="5" t="s">
        <v>88</v>
      </c>
      <c r="B472" s="5" t="s">
        <v>75</v>
      </c>
      <c r="C472" s="5" t="s">
        <v>655</v>
      </c>
      <c r="D472" s="6" t="n">
        <v>0.188629798643811</v>
      </c>
      <c r="E472" s="6" t="n">
        <v>0.0394757623001253</v>
      </c>
      <c r="F472" s="7" t="n">
        <v>1.76721955215682E-006</v>
      </c>
    </row>
    <row r="473" customFormat="false" ht="15" hidden="false" customHeight="true" outlineLevel="0" collapsed="false">
      <c r="A473" s="5" t="s">
        <v>88</v>
      </c>
      <c r="B473" s="5" t="s">
        <v>75</v>
      </c>
      <c r="C473" s="5" t="s">
        <v>656</v>
      </c>
      <c r="D473" s="6" t="n">
        <v>0.186099359319181</v>
      </c>
      <c r="E473" s="6" t="n">
        <v>0.0396148248019974</v>
      </c>
      <c r="F473" s="7" t="n">
        <v>2.63081599421633E-006</v>
      </c>
    </row>
    <row r="474" customFormat="false" ht="15" hidden="false" customHeight="true" outlineLevel="0" collapsed="false">
      <c r="A474" s="5" t="s">
        <v>88</v>
      </c>
      <c r="B474" s="5" t="s">
        <v>75</v>
      </c>
      <c r="C474" s="5" t="s">
        <v>657</v>
      </c>
      <c r="D474" s="6" t="n">
        <v>0.186265765233055</v>
      </c>
      <c r="E474" s="6" t="n">
        <v>0.0395924656993646</v>
      </c>
      <c r="F474" s="7" t="n">
        <v>2.54394047988779E-006</v>
      </c>
    </row>
    <row r="475" customFormat="false" ht="15" hidden="false" customHeight="true" outlineLevel="0" collapsed="false">
      <c r="A475" s="5" t="s">
        <v>88</v>
      </c>
      <c r="B475" s="5" t="s">
        <v>75</v>
      </c>
      <c r="C475" s="5" t="s">
        <v>658</v>
      </c>
      <c r="D475" s="6" t="n">
        <v>0.189333885674869</v>
      </c>
      <c r="E475" s="6" t="n">
        <v>0.0395712094732242</v>
      </c>
      <c r="F475" s="7" t="n">
        <v>1.71296353421325E-006</v>
      </c>
    </row>
    <row r="476" customFormat="false" ht="15" hidden="false" customHeight="true" outlineLevel="0" collapsed="false">
      <c r="A476" s="5" t="s">
        <v>88</v>
      </c>
      <c r="B476" s="5" t="s">
        <v>75</v>
      </c>
      <c r="C476" s="5" t="s">
        <v>659</v>
      </c>
      <c r="D476" s="6" t="n">
        <v>0.187573072175868</v>
      </c>
      <c r="E476" s="6" t="n">
        <v>0.0395977772609398</v>
      </c>
      <c r="F476" s="7" t="n">
        <v>2.1694836493188E-006</v>
      </c>
    </row>
    <row r="477" customFormat="false" ht="15" hidden="false" customHeight="true" outlineLevel="0" collapsed="false">
      <c r="A477" s="5" t="s">
        <v>88</v>
      </c>
      <c r="B477" s="5" t="s">
        <v>75</v>
      </c>
      <c r="C477" s="5" t="s">
        <v>660</v>
      </c>
      <c r="D477" s="6" t="n">
        <v>0.188601539963849</v>
      </c>
      <c r="E477" s="6" t="n">
        <v>0.0397156180210825</v>
      </c>
      <c r="F477" s="7" t="n">
        <v>2.04626842877168E-006</v>
      </c>
    </row>
    <row r="478" customFormat="false" ht="15" hidden="false" customHeight="true" outlineLevel="0" collapsed="false">
      <c r="A478" s="5" t="s">
        <v>88</v>
      </c>
      <c r="B478" s="5" t="s">
        <v>75</v>
      </c>
      <c r="C478" s="5" t="s">
        <v>661</v>
      </c>
      <c r="D478" s="6" t="n">
        <v>0.184614567646416</v>
      </c>
      <c r="E478" s="6" t="n">
        <v>0.0397540051141464</v>
      </c>
      <c r="F478" s="7" t="n">
        <v>3.41853807617756E-006</v>
      </c>
    </row>
    <row r="479" customFormat="false" ht="15" hidden="false" customHeight="true" outlineLevel="0" collapsed="false">
      <c r="A479" s="5" t="s">
        <v>88</v>
      </c>
      <c r="B479" s="5" t="s">
        <v>75</v>
      </c>
      <c r="C479" s="5" t="s">
        <v>662</v>
      </c>
      <c r="D479" s="6" t="n">
        <v>0.188515677102357</v>
      </c>
      <c r="E479" s="6" t="n">
        <v>0.0395915253113774</v>
      </c>
      <c r="F479" s="7" t="n">
        <v>1.92144160830085E-006</v>
      </c>
    </row>
    <row r="480" customFormat="false" ht="15" hidden="false" customHeight="true" outlineLevel="0" collapsed="false">
      <c r="A480" s="5" t="s">
        <v>88</v>
      </c>
      <c r="B480" s="5" t="s">
        <v>75</v>
      </c>
      <c r="C480" s="5" t="s">
        <v>663</v>
      </c>
      <c r="D480" s="6" t="n">
        <v>0.188502335934025</v>
      </c>
      <c r="E480" s="6" t="n">
        <v>0.0395779467349726</v>
      </c>
      <c r="F480" s="7" t="n">
        <v>1.90913301530456E-006</v>
      </c>
    </row>
    <row r="481" customFormat="false" ht="15" hidden="false" customHeight="true" outlineLevel="0" collapsed="false">
      <c r="A481" s="5" t="s">
        <v>88</v>
      </c>
      <c r="B481" s="5" t="s">
        <v>75</v>
      </c>
      <c r="C481" s="5" t="s">
        <v>664</v>
      </c>
      <c r="D481" s="6" t="n">
        <v>0.190568064613896</v>
      </c>
      <c r="E481" s="6" t="n">
        <v>0.0396528370086032</v>
      </c>
      <c r="F481" s="7" t="n">
        <v>1.54047274162163E-006</v>
      </c>
    </row>
    <row r="482" customFormat="false" ht="15" hidden="false" customHeight="true" outlineLevel="0" collapsed="false">
      <c r="A482" s="5" t="s">
        <v>88</v>
      </c>
      <c r="B482" s="5" t="s">
        <v>75</v>
      </c>
      <c r="C482" s="5" t="s">
        <v>665</v>
      </c>
      <c r="D482" s="6" t="n">
        <v>0.187319135850689</v>
      </c>
      <c r="E482" s="6" t="n">
        <v>0.0396131399041268</v>
      </c>
      <c r="F482" s="7" t="n">
        <v>2.25948455084887E-006</v>
      </c>
    </row>
    <row r="483" customFormat="false" ht="15" hidden="false" customHeight="true" outlineLevel="0" collapsed="false">
      <c r="A483" s="5" t="s">
        <v>88</v>
      </c>
      <c r="B483" s="5" t="s">
        <v>75</v>
      </c>
      <c r="C483" s="5" t="s">
        <v>666</v>
      </c>
      <c r="D483" s="6" t="n">
        <v>0.189161379957536</v>
      </c>
      <c r="E483" s="6" t="n">
        <v>0.0395809909307015</v>
      </c>
      <c r="F483" s="7" t="n">
        <v>1.76084566476234E-006</v>
      </c>
    </row>
    <row r="484" customFormat="false" ht="15" hidden="false" customHeight="true" outlineLevel="0" collapsed="false">
      <c r="A484" s="5" t="s">
        <v>88</v>
      </c>
      <c r="B484" s="5" t="s">
        <v>75</v>
      </c>
      <c r="C484" s="5" t="s">
        <v>667</v>
      </c>
      <c r="D484" s="6" t="n">
        <v>0.186404431574239</v>
      </c>
      <c r="E484" s="6" t="n">
        <v>0.0395495279977421</v>
      </c>
      <c r="F484" s="7" t="n">
        <v>2.43868862469182E-006</v>
      </c>
    </row>
    <row r="485" customFormat="false" ht="15" hidden="false" customHeight="true" outlineLevel="0" collapsed="false">
      <c r="A485" s="5" t="s">
        <v>88</v>
      </c>
      <c r="B485" s="5" t="s">
        <v>75</v>
      </c>
      <c r="C485" s="5" t="s">
        <v>668</v>
      </c>
      <c r="D485" s="6" t="n">
        <v>0.188132126426892</v>
      </c>
      <c r="E485" s="6" t="n">
        <v>0.0395574124635424</v>
      </c>
      <c r="F485" s="7" t="n">
        <v>1.97538825200358E-006</v>
      </c>
    </row>
    <row r="486" customFormat="false" ht="15" hidden="false" customHeight="true" outlineLevel="0" collapsed="false">
      <c r="A486" s="5" t="s">
        <v>88</v>
      </c>
      <c r="B486" s="5" t="s">
        <v>75</v>
      </c>
      <c r="C486" s="5" t="s">
        <v>669</v>
      </c>
      <c r="D486" s="6" t="n">
        <v>0.185417540931636</v>
      </c>
      <c r="E486" s="6" t="n">
        <v>0.0395240670604005</v>
      </c>
      <c r="F486" s="7" t="n">
        <v>2.71532150371786E-006</v>
      </c>
    </row>
    <row r="487" customFormat="false" ht="15" hidden="false" customHeight="true" outlineLevel="0" collapsed="false">
      <c r="A487" s="5" t="s">
        <v>88</v>
      </c>
      <c r="B487" s="5" t="s">
        <v>75</v>
      </c>
      <c r="C487" s="5" t="s">
        <v>670</v>
      </c>
      <c r="D487" s="6" t="n">
        <v>0.188019385240747</v>
      </c>
      <c r="E487" s="6" t="n">
        <v>0.0396000481994809</v>
      </c>
      <c r="F487" s="7" t="n">
        <v>2.05480189264898E-006</v>
      </c>
    </row>
    <row r="488" customFormat="false" ht="15" hidden="false" customHeight="true" outlineLevel="0" collapsed="false">
      <c r="A488" s="5" t="s">
        <v>88</v>
      </c>
      <c r="B488" s="5" t="s">
        <v>75</v>
      </c>
      <c r="C488" s="5" t="s">
        <v>671</v>
      </c>
      <c r="D488" s="6" t="n">
        <v>0.186447416420856</v>
      </c>
      <c r="E488" s="6" t="n">
        <v>0.0395899137059347</v>
      </c>
      <c r="F488" s="7" t="n">
        <v>2.48364672935647E-006</v>
      </c>
    </row>
    <row r="489" customFormat="false" ht="15" hidden="false" customHeight="true" outlineLevel="0" collapsed="false">
      <c r="A489" s="5" t="s">
        <v>88</v>
      </c>
      <c r="B489" s="5" t="s">
        <v>75</v>
      </c>
      <c r="C489" s="5" t="s">
        <v>672</v>
      </c>
      <c r="D489" s="6" t="n">
        <v>0.187041919515561</v>
      </c>
      <c r="E489" s="6" t="n">
        <v>0.0395950051989896</v>
      </c>
      <c r="F489" s="7" t="n">
        <v>2.31390825797435E-006</v>
      </c>
    </row>
    <row r="490" customFormat="false" ht="15" hidden="false" customHeight="true" outlineLevel="0" collapsed="false">
      <c r="A490" s="5" t="s">
        <v>88</v>
      </c>
      <c r="B490" s="5" t="s">
        <v>75</v>
      </c>
      <c r="C490" s="5" t="s">
        <v>673</v>
      </c>
      <c r="D490" s="6" t="n">
        <v>0.188427319136669</v>
      </c>
      <c r="E490" s="6" t="n">
        <v>0.0395970913481823</v>
      </c>
      <c r="F490" s="7" t="n">
        <v>1.94925672519701E-006</v>
      </c>
    </row>
    <row r="491" customFormat="false" ht="15" hidden="false" customHeight="true" outlineLevel="0" collapsed="false">
      <c r="A491" s="5" t="s">
        <v>88</v>
      </c>
      <c r="B491" s="5" t="s">
        <v>75</v>
      </c>
      <c r="C491" s="5" t="s">
        <v>674</v>
      </c>
      <c r="D491" s="6" t="n">
        <v>0.186699309897866</v>
      </c>
      <c r="E491" s="6" t="n">
        <v>0.0395475968157682</v>
      </c>
      <c r="F491" s="7" t="n">
        <v>2.34830804354275E-006</v>
      </c>
    </row>
    <row r="492" customFormat="false" ht="15" hidden="false" customHeight="true" outlineLevel="0" collapsed="false">
      <c r="A492" s="5" t="s">
        <v>88</v>
      </c>
      <c r="B492" s="5" t="s">
        <v>75</v>
      </c>
      <c r="C492" s="5" t="s">
        <v>675</v>
      </c>
      <c r="D492" s="6" t="n">
        <v>0.186539947699725</v>
      </c>
      <c r="E492" s="6" t="n">
        <v>0.039574599343427</v>
      </c>
      <c r="F492" s="7" t="n">
        <v>2.43344496937463E-006</v>
      </c>
    </row>
    <row r="493" customFormat="false" ht="15" hidden="false" customHeight="true" outlineLevel="0" collapsed="false">
      <c r="A493" s="5" t="s">
        <v>88</v>
      </c>
      <c r="B493" s="5" t="s">
        <v>75</v>
      </c>
      <c r="C493" s="5" t="s">
        <v>676</v>
      </c>
      <c r="D493" s="6" t="n">
        <v>0.188239527833987</v>
      </c>
      <c r="E493" s="6" t="n">
        <v>0.0396594963632407</v>
      </c>
      <c r="F493" s="7" t="n">
        <v>2.07076912265106E-006</v>
      </c>
    </row>
    <row r="494" customFormat="false" ht="15" hidden="false" customHeight="true" outlineLevel="0" collapsed="false">
      <c r="A494" s="5" t="s">
        <v>88</v>
      </c>
      <c r="B494" s="5" t="s">
        <v>75</v>
      </c>
      <c r="C494" s="5" t="s">
        <v>677</v>
      </c>
      <c r="D494" s="6" t="n">
        <v>0.185336112412113</v>
      </c>
      <c r="E494" s="6" t="n">
        <v>0.0395877128054106</v>
      </c>
      <c r="F494" s="7" t="n">
        <v>2.84564643742847E-006</v>
      </c>
    </row>
    <row r="495" customFormat="false" ht="15" hidden="false" customHeight="true" outlineLevel="0" collapsed="false">
      <c r="A495" s="5" t="s">
        <v>88</v>
      </c>
      <c r="B495" s="5" t="s">
        <v>75</v>
      </c>
      <c r="C495" s="5" t="s">
        <v>678</v>
      </c>
      <c r="D495" s="6" t="n">
        <v>0.183707886027801</v>
      </c>
      <c r="E495" s="6" t="n">
        <v>0.0395557784387649</v>
      </c>
      <c r="F495" s="7" t="n">
        <v>3.41273864668043E-006</v>
      </c>
    </row>
    <row r="496" customFormat="false" ht="15" hidden="false" customHeight="true" outlineLevel="0" collapsed="false">
      <c r="A496" s="5" t="s">
        <v>88</v>
      </c>
      <c r="B496" s="5" t="s">
        <v>75</v>
      </c>
      <c r="C496" s="5" t="s">
        <v>679</v>
      </c>
      <c r="D496" s="6" t="n">
        <v>0.185570259673194</v>
      </c>
      <c r="E496" s="6" t="n">
        <v>0.0395284785689371</v>
      </c>
      <c r="F496" s="7" t="n">
        <v>2.67133400617542E-006</v>
      </c>
    </row>
    <row r="497" customFormat="false" ht="15" hidden="false" customHeight="true" outlineLevel="0" collapsed="false">
      <c r="A497" s="5" t="s">
        <v>88</v>
      </c>
      <c r="B497" s="5" t="s">
        <v>75</v>
      </c>
      <c r="C497" s="5" t="s">
        <v>680</v>
      </c>
      <c r="D497" s="6" t="n">
        <v>0.188487812038158</v>
      </c>
      <c r="E497" s="6" t="n">
        <v>0.0396121973146935</v>
      </c>
      <c r="F497" s="7" t="n">
        <v>1.95203503823115E-006</v>
      </c>
    </row>
    <row r="498" customFormat="false" ht="15" hidden="false" customHeight="true" outlineLevel="0" collapsed="false">
      <c r="A498" s="5" t="s">
        <v>88</v>
      </c>
      <c r="B498" s="5" t="s">
        <v>75</v>
      </c>
      <c r="C498" s="5" t="s">
        <v>681</v>
      </c>
      <c r="D498" s="6" t="n">
        <v>0.187100024638121</v>
      </c>
      <c r="E498" s="6" t="n">
        <v>0.0396231647331986</v>
      </c>
      <c r="F498" s="7" t="n">
        <v>2.33552893329727E-006</v>
      </c>
    </row>
    <row r="499" customFormat="false" ht="15" hidden="false" customHeight="true" outlineLevel="0" collapsed="false">
      <c r="A499" s="5" t="s">
        <v>88</v>
      </c>
      <c r="B499" s="5" t="s">
        <v>75</v>
      </c>
      <c r="C499" s="5" t="s">
        <v>682</v>
      </c>
      <c r="D499" s="6" t="n">
        <v>0.186518431454436</v>
      </c>
      <c r="E499" s="6" t="n">
        <v>0.0395202065397276</v>
      </c>
      <c r="F499" s="7" t="n">
        <v>2.36342229289984E-006</v>
      </c>
    </row>
    <row r="500" customFormat="false" ht="15" hidden="false" customHeight="true" outlineLevel="0" collapsed="false">
      <c r="A500" s="5" t="s">
        <v>88</v>
      </c>
      <c r="B500" s="5" t="s">
        <v>75</v>
      </c>
      <c r="C500" s="5" t="s">
        <v>683</v>
      </c>
      <c r="D500" s="6" t="n">
        <v>0.187325276634101</v>
      </c>
      <c r="E500" s="6" t="n">
        <v>0.0396218290107178</v>
      </c>
      <c r="F500" s="7" t="n">
        <v>2.26931920891846E-006</v>
      </c>
    </row>
    <row r="501" customFormat="false" ht="15" hidden="false" customHeight="true" outlineLevel="0" collapsed="false">
      <c r="A501" s="5" t="s">
        <v>88</v>
      </c>
      <c r="B501" s="5" t="s">
        <v>75</v>
      </c>
      <c r="C501" s="5" t="s">
        <v>684</v>
      </c>
      <c r="D501" s="6" t="n">
        <v>0.186413766714655</v>
      </c>
      <c r="E501" s="6" t="n">
        <v>0.0395399073121492</v>
      </c>
      <c r="F501" s="7" t="n">
        <v>2.42218538493965E-006</v>
      </c>
    </row>
    <row r="502" customFormat="false" ht="15" hidden="false" customHeight="true" outlineLevel="0" collapsed="false">
      <c r="A502" s="5" t="s">
        <v>88</v>
      </c>
      <c r="B502" s="5" t="s">
        <v>75</v>
      </c>
      <c r="C502" s="5" t="s">
        <v>685</v>
      </c>
      <c r="D502" s="6" t="n">
        <v>0.18723985924336</v>
      </c>
      <c r="E502" s="6" t="n">
        <v>0.0395926898393419</v>
      </c>
      <c r="F502" s="7" t="n">
        <v>2.2545924081055E-006</v>
      </c>
    </row>
    <row r="503" customFormat="false" ht="15" hidden="false" customHeight="true" outlineLevel="0" collapsed="false">
      <c r="A503" s="5" t="s">
        <v>88</v>
      </c>
      <c r="B503" s="5" t="s">
        <v>75</v>
      </c>
      <c r="C503" s="5" t="s">
        <v>686</v>
      </c>
      <c r="D503" s="6" t="n">
        <v>0.187045366985747</v>
      </c>
      <c r="E503" s="6" t="n">
        <v>0.0396002331196015</v>
      </c>
      <c r="F503" s="7" t="n">
        <v>2.32002443206886E-006</v>
      </c>
    </row>
    <row r="504" customFormat="false" ht="15" hidden="false" customHeight="true" outlineLevel="0" collapsed="false">
      <c r="A504" s="5" t="s">
        <v>88</v>
      </c>
      <c r="B504" s="5" t="s">
        <v>75</v>
      </c>
      <c r="C504" s="5" t="s">
        <v>687</v>
      </c>
      <c r="D504" s="6" t="n">
        <v>0.187892843885058</v>
      </c>
      <c r="E504" s="6" t="n">
        <v>0.0395930657367327</v>
      </c>
      <c r="F504" s="7" t="n">
        <v>2.07889405921224E-006</v>
      </c>
    </row>
    <row r="505" customFormat="false" ht="15" hidden="false" customHeight="true" outlineLevel="0" collapsed="false">
      <c r="A505" s="5" t="s">
        <v>88</v>
      </c>
      <c r="B505" s="5" t="s">
        <v>75</v>
      </c>
      <c r="C505" s="5" t="s">
        <v>688</v>
      </c>
      <c r="D505" s="6" t="n">
        <v>0.189039604884558</v>
      </c>
      <c r="E505" s="6" t="n">
        <v>0.0395484209827889</v>
      </c>
      <c r="F505" s="7" t="n">
        <v>1.75335928525511E-006</v>
      </c>
    </row>
    <row r="506" customFormat="false" ht="15" hidden="false" customHeight="true" outlineLevel="0" collapsed="false">
      <c r="A506" s="5" t="s">
        <v>88</v>
      </c>
      <c r="B506" s="5" t="s">
        <v>75</v>
      </c>
      <c r="C506" s="5" t="s">
        <v>689</v>
      </c>
      <c r="D506" s="6" t="n">
        <v>0.190173800047348</v>
      </c>
      <c r="E506" s="6" t="n">
        <v>0.0394958340882139</v>
      </c>
      <c r="F506" s="7" t="n">
        <v>1.47174529904199E-006</v>
      </c>
    </row>
    <row r="507" customFormat="false" ht="15" hidden="false" customHeight="true" outlineLevel="0" collapsed="false">
      <c r="A507" s="5" t="s">
        <v>88</v>
      </c>
      <c r="B507" s="5" t="s">
        <v>75</v>
      </c>
      <c r="C507" s="5" t="s">
        <v>690</v>
      </c>
      <c r="D507" s="6" t="n">
        <v>0.188833885630778</v>
      </c>
      <c r="E507" s="6" t="n">
        <v>0.0395658396191466</v>
      </c>
      <c r="F507" s="7" t="n">
        <v>1.8181802996225E-006</v>
      </c>
    </row>
    <row r="508" customFormat="false" ht="15" hidden="false" customHeight="true" outlineLevel="0" collapsed="false">
      <c r="A508" s="5" t="s">
        <v>88</v>
      </c>
      <c r="B508" s="5" t="s">
        <v>75</v>
      </c>
      <c r="C508" s="5" t="s">
        <v>691</v>
      </c>
      <c r="D508" s="6" t="n">
        <v>0.188538200978248</v>
      </c>
      <c r="E508" s="6" t="n">
        <v>0.0394726733476718</v>
      </c>
      <c r="F508" s="7" t="n">
        <v>1.78440473036724E-006</v>
      </c>
    </row>
    <row r="509" customFormat="false" ht="15" hidden="false" customHeight="true" outlineLevel="0" collapsed="false">
      <c r="A509" s="5" t="s">
        <v>88</v>
      </c>
      <c r="B509" s="5" t="s">
        <v>75</v>
      </c>
      <c r="C509" s="5" t="s">
        <v>692</v>
      </c>
      <c r="D509" s="6" t="n">
        <v>0.18394938944928</v>
      </c>
      <c r="E509" s="6" t="n">
        <v>0.0394542112444167</v>
      </c>
      <c r="F509" s="7" t="n">
        <v>3.12617096796273E-006</v>
      </c>
    </row>
    <row r="510" customFormat="false" ht="15" hidden="false" customHeight="true" outlineLevel="0" collapsed="false">
      <c r="A510" s="5" t="s">
        <v>88</v>
      </c>
      <c r="B510" s="5" t="s">
        <v>75</v>
      </c>
      <c r="C510" s="5" t="s">
        <v>693</v>
      </c>
      <c r="D510" s="6" t="n">
        <v>0.186496817172825</v>
      </c>
      <c r="E510" s="6" t="n">
        <v>0.0395781301368171</v>
      </c>
      <c r="F510" s="7" t="n">
        <v>2.45155414102952E-006</v>
      </c>
    </row>
    <row r="511" customFormat="false" ht="15" hidden="false" customHeight="true" outlineLevel="0" collapsed="false">
      <c r="A511" s="5" t="s">
        <v>88</v>
      </c>
      <c r="B511" s="5" t="s">
        <v>75</v>
      </c>
      <c r="C511" s="5" t="s">
        <v>694</v>
      </c>
      <c r="D511" s="6" t="n">
        <v>0.187598744364317</v>
      </c>
      <c r="E511" s="6" t="n">
        <v>0.0395804570550167</v>
      </c>
      <c r="F511" s="7" t="n">
        <v>2.14054839733982E-006</v>
      </c>
    </row>
    <row r="512" customFormat="false" ht="15" hidden="false" customHeight="true" outlineLevel="0" collapsed="false">
      <c r="A512" s="5" t="s">
        <v>88</v>
      </c>
      <c r="B512" s="5" t="s">
        <v>75</v>
      </c>
      <c r="C512" s="5" t="s">
        <v>695</v>
      </c>
      <c r="D512" s="6" t="n">
        <v>0.188626698700958</v>
      </c>
      <c r="E512" s="6" t="n">
        <v>0.0395488252047484</v>
      </c>
      <c r="F512" s="7" t="n">
        <v>1.8471673380871E-006</v>
      </c>
    </row>
    <row r="513" customFormat="false" ht="15" hidden="false" customHeight="true" outlineLevel="0" collapsed="false">
      <c r="A513" s="5" t="s">
        <v>88</v>
      </c>
      <c r="B513" s="5" t="s">
        <v>75</v>
      </c>
      <c r="C513" s="5" t="s">
        <v>696</v>
      </c>
      <c r="D513" s="6" t="n">
        <v>0.188828314527325</v>
      </c>
      <c r="E513" s="6" t="n">
        <v>0.0395972436562204</v>
      </c>
      <c r="F513" s="7" t="n">
        <v>1.85396722048928E-006</v>
      </c>
    </row>
    <row r="514" customFormat="false" ht="15" hidden="false" customHeight="true" outlineLevel="0" collapsed="false">
      <c r="A514" s="5" t="s">
        <v>88</v>
      </c>
      <c r="B514" s="5" t="s">
        <v>75</v>
      </c>
      <c r="C514" s="5" t="s">
        <v>697</v>
      </c>
      <c r="D514" s="6" t="n">
        <v>0.186858621827887</v>
      </c>
      <c r="E514" s="6" t="n">
        <v>0.0395587430667344</v>
      </c>
      <c r="F514" s="7" t="n">
        <v>2.31736400234447E-006</v>
      </c>
    </row>
    <row r="515" customFormat="false" ht="15" hidden="false" customHeight="true" outlineLevel="0" collapsed="false">
      <c r="A515" s="5" t="s">
        <v>88</v>
      </c>
      <c r="B515" s="5" t="s">
        <v>75</v>
      </c>
      <c r="C515" s="5" t="s">
        <v>698</v>
      </c>
      <c r="D515" s="6" t="n">
        <v>0.185485593645943</v>
      </c>
      <c r="E515" s="6" t="n">
        <v>0.0395557257616654</v>
      </c>
      <c r="F515" s="7" t="n">
        <v>2.74245254695768E-006</v>
      </c>
    </row>
    <row r="516" customFormat="false" ht="15" hidden="false" customHeight="true" outlineLevel="0" collapsed="false">
      <c r="A516" s="5" t="s">
        <v>88</v>
      </c>
      <c r="B516" s="5" t="s">
        <v>75</v>
      </c>
      <c r="C516" s="5" t="s">
        <v>699</v>
      </c>
      <c r="D516" s="6" t="n">
        <v>0.186474671246289</v>
      </c>
      <c r="E516" s="6" t="n">
        <v>0.0395703442497511</v>
      </c>
      <c r="F516" s="7" t="n">
        <v>2.44713567289299E-006</v>
      </c>
    </row>
    <row r="517" customFormat="false" ht="15" hidden="false" customHeight="true" outlineLevel="0" collapsed="false">
      <c r="A517" s="5" t="s">
        <v>88</v>
      </c>
      <c r="B517" s="5" t="s">
        <v>75</v>
      </c>
      <c r="C517" s="5" t="s">
        <v>700</v>
      </c>
      <c r="D517" s="6" t="n">
        <v>0.188041734449611</v>
      </c>
      <c r="E517" s="6" t="n">
        <v>0.0395587965975981</v>
      </c>
      <c r="F517" s="7" t="n">
        <v>1.99950244048617E-006</v>
      </c>
    </row>
    <row r="518" customFormat="false" ht="15" hidden="false" customHeight="true" outlineLevel="0" collapsed="false">
      <c r="A518" s="5" t="s">
        <v>88</v>
      </c>
      <c r="B518" s="5" t="s">
        <v>75</v>
      </c>
      <c r="C518" s="5" t="s">
        <v>701</v>
      </c>
      <c r="D518" s="6" t="n">
        <v>0.187929038885922</v>
      </c>
      <c r="E518" s="6" t="n">
        <v>0.039629123255211</v>
      </c>
      <c r="F518" s="7" t="n">
        <v>2.11414746884223E-006</v>
      </c>
    </row>
    <row r="519" customFormat="false" ht="15" hidden="false" customHeight="true" outlineLevel="0" collapsed="false">
      <c r="A519" s="5" t="s">
        <v>88</v>
      </c>
      <c r="B519" s="5" t="s">
        <v>75</v>
      </c>
      <c r="C519" s="5" t="s">
        <v>702</v>
      </c>
      <c r="D519" s="6" t="n">
        <v>0.18335152189916</v>
      </c>
      <c r="E519" s="6" t="n">
        <v>0.0395738215117618</v>
      </c>
      <c r="F519" s="7" t="n">
        <v>3.60140281618485E-006</v>
      </c>
    </row>
    <row r="520" customFormat="false" ht="15" hidden="false" customHeight="true" outlineLevel="0" collapsed="false">
      <c r="A520" s="5" t="s">
        <v>88</v>
      </c>
      <c r="B520" s="5" t="s">
        <v>75</v>
      </c>
      <c r="C520" s="5" t="s">
        <v>703</v>
      </c>
      <c r="D520" s="6" t="n">
        <v>0.188072861061182</v>
      </c>
      <c r="E520" s="6" t="n">
        <v>0.0395781020738098</v>
      </c>
      <c r="F520" s="7" t="n">
        <v>2.01471780071876E-006</v>
      </c>
    </row>
    <row r="521" customFormat="false" ht="15" hidden="false" customHeight="true" outlineLevel="0" collapsed="false">
      <c r="A521" s="5" t="s">
        <v>88</v>
      </c>
      <c r="B521" s="5" t="s">
        <v>75</v>
      </c>
      <c r="C521" s="5" t="s">
        <v>704</v>
      </c>
      <c r="D521" s="6" t="n">
        <v>0.18630982599877</v>
      </c>
      <c r="E521" s="6" t="n">
        <v>0.0396056997882666</v>
      </c>
      <c r="F521" s="7" t="n">
        <v>2.54967630539988E-006</v>
      </c>
    </row>
    <row r="522" customFormat="false" ht="15" hidden="false" customHeight="true" outlineLevel="0" collapsed="false">
      <c r="A522" s="5" t="s">
        <v>88</v>
      </c>
      <c r="B522" s="5" t="s">
        <v>75</v>
      </c>
      <c r="C522" s="5" t="s">
        <v>705</v>
      </c>
      <c r="D522" s="6" t="n">
        <v>0.185700346120736</v>
      </c>
      <c r="E522" s="6" t="n">
        <v>0.0395824663374697</v>
      </c>
      <c r="F522" s="7" t="n">
        <v>2.71235892336315E-006</v>
      </c>
    </row>
    <row r="523" customFormat="false" ht="15" hidden="false" customHeight="true" outlineLevel="0" collapsed="false">
      <c r="A523" s="5" t="s">
        <v>88</v>
      </c>
      <c r="B523" s="5" t="s">
        <v>75</v>
      </c>
      <c r="C523" s="5" t="s">
        <v>706</v>
      </c>
      <c r="D523" s="6" t="n">
        <v>0.187507362639767</v>
      </c>
      <c r="E523" s="6" t="n">
        <v>0.0396322730114328</v>
      </c>
      <c r="F523" s="7" t="n">
        <v>2.23219998624697E-006</v>
      </c>
    </row>
    <row r="524" customFormat="false" ht="15" hidden="false" customHeight="true" outlineLevel="0" collapsed="false">
      <c r="A524" s="5" t="s">
        <v>88</v>
      </c>
      <c r="B524" s="5" t="s">
        <v>75</v>
      </c>
      <c r="C524" s="5" t="s">
        <v>707</v>
      </c>
      <c r="D524" s="6" t="n">
        <v>0.187752629091894</v>
      </c>
      <c r="E524" s="6" t="n">
        <v>0.0395933705155179</v>
      </c>
      <c r="F524" s="7" t="n">
        <v>2.11595769627231E-006</v>
      </c>
    </row>
    <row r="525" customFormat="false" ht="15" hidden="false" customHeight="true" outlineLevel="0" collapsed="false">
      <c r="A525" s="5" t="s">
        <v>88</v>
      </c>
      <c r="B525" s="5" t="s">
        <v>75</v>
      </c>
      <c r="C525" s="5" t="s">
        <v>708</v>
      </c>
      <c r="D525" s="6" t="n">
        <v>0.18689008168843</v>
      </c>
      <c r="E525" s="6" t="n">
        <v>0.0395833733735239</v>
      </c>
      <c r="F525" s="7" t="n">
        <v>2.34193537614212E-006</v>
      </c>
    </row>
    <row r="526" customFormat="false" ht="15" hidden="false" customHeight="true" outlineLevel="0" collapsed="false">
      <c r="A526" s="5" t="s">
        <v>88</v>
      </c>
      <c r="B526" s="5" t="s">
        <v>75</v>
      </c>
      <c r="C526" s="5" t="s">
        <v>186</v>
      </c>
      <c r="D526" s="6" t="n">
        <v>0.189450965521507</v>
      </c>
      <c r="E526" s="6" t="n">
        <v>0.0394259917856514</v>
      </c>
      <c r="F526" s="7" t="n">
        <v>1.54573569598271E-006</v>
      </c>
    </row>
    <row r="527" customFormat="false" ht="15" hidden="false" customHeight="true" outlineLevel="0" collapsed="false">
      <c r="A527" s="5" t="s">
        <v>88</v>
      </c>
      <c r="B527" s="5" t="s">
        <v>75</v>
      </c>
      <c r="C527" s="5" t="s">
        <v>709</v>
      </c>
      <c r="D527" s="6" t="n">
        <v>0.184592981771008</v>
      </c>
      <c r="E527" s="6" t="n">
        <v>0.0395516522513915</v>
      </c>
      <c r="F527" s="7" t="n">
        <v>3.05425610430534E-006</v>
      </c>
    </row>
    <row r="528" customFormat="false" ht="15" hidden="false" customHeight="true" outlineLevel="0" collapsed="false">
      <c r="A528" s="5" t="s">
        <v>88</v>
      </c>
      <c r="B528" s="5" t="s">
        <v>75</v>
      </c>
      <c r="C528" s="5" t="s">
        <v>710</v>
      </c>
      <c r="D528" s="6" t="n">
        <v>0.186841487490883</v>
      </c>
      <c r="E528" s="6" t="n">
        <v>0.039599056947439</v>
      </c>
      <c r="F528" s="7" t="n">
        <v>2.37786512712893E-006</v>
      </c>
    </row>
    <row r="529" customFormat="false" ht="15" hidden="false" customHeight="true" outlineLevel="0" collapsed="false">
      <c r="A529" s="5" t="s">
        <v>88</v>
      </c>
      <c r="B529" s="5" t="s">
        <v>75</v>
      </c>
      <c r="C529" s="5" t="s">
        <v>711</v>
      </c>
      <c r="D529" s="6" t="n">
        <v>0.188753607211339</v>
      </c>
      <c r="E529" s="6" t="n">
        <v>0.0395858086803167</v>
      </c>
      <c r="F529" s="7" t="n">
        <v>1.85866292530729E-006</v>
      </c>
    </row>
    <row r="530" customFormat="false" ht="15" hidden="false" customHeight="true" outlineLevel="0" collapsed="false">
      <c r="A530" s="5" t="s">
        <v>88</v>
      </c>
      <c r="B530" s="5" t="s">
        <v>75</v>
      </c>
      <c r="C530" s="5" t="s">
        <v>712</v>
      </c>
      <c r="D530" s="6" t="n">
        <v>0.187132499881644</v>
      </c>
      <c r="E530" s="6" t="n">
        <v>0.0396143936527609</v>
      </c>
      <c r="F530" s="7" t="n">
        <v>2.3141980316338E-006</v>
      </c>
    </row>
    <row r="531" customFormat="false" ht="15" hidden="false" customHeight="true" outlineLevel="0" collapsed="false">
      <c r="A531" s="5" t="s">
        <v>88</v>
      </c>
      <c r="B531" s="5" t="s">
        <v>75</v>
      </c>
      <c r="C531" s="5" t="s">
        <v>713</v>
      </c>
      <c r="D531" s="6" t="n">
        <v>0.185070759076149</v>
      </c>
      <c r="E531" s="6" t="n">
        <v>0.0395135250756249</v>
      </c>
      <c r="F531" s="7" t="n">
        <v>2.81698374159209E-006</v>
      </c>
    </row>
    <row r="532" customFormat="false" ht="15" hidden="false" customHeight="true" outlineLevel="0" collapsed="false">
      <c r="A532" s="5" t="s">
        <v>88</v>
      </c>
      <c r="B532" s="5" t="s">
        <v>75</v>
      </c>
      <c r="C532" s="5" t="s">
        <v>714</v>
      </c>
      <c r="D532" s="6" t="n">
        <v>0.186368077168586</v>
      </c>
      <c r="E532" s="6" t="n">
        <v>0.0395852944510013</v>
      </c>
      <c r="F532" s="7" t="n">
        <v>2.5014326725215E-006</v>
      </c>
    </row>
    <row r="533" customFormat="false" ht="15" hidden="false" customHeight="true" outlineLevel="0" collapsed="false">
      <c r="A533" s="5" t="s">
        <v>88</v>
      </c>
      <c r="B533" s="5" t="s">
        <v>75</v>
      </c>
      <c r="C533" s="5" t="s">
        <v>715</v>
      </c>
      <c r="D533" s="6" t="n">
        <v>0.18739851226472</v>
      </c>
      <c r="E533" s="6" t="n">
        <v>0.0395952917463762</v>
      </c>
      <c r="F533" s="7" t="n">
        <v>2.21390869356353E-006</v>
      </c>
    </row>
    <row r="534" customFormat="false" ht="15" hidden="false" customHeight="true" outlineLevel="0" collapsed="false">
      <c r="A534" s="5" t="s">
        <v>88</v>
      </c>
      <c r="B534" s="5" t="s">
        <v>75</v>
      </c>
      <c r="C534" s="5" t="s">
        <v>716</v>
      </c>
      <c r="D534" s="6" t="n">
        <v>0.185447724109562</v>
      </c>
      <c r="E534" s="6" t="n">
        <v>0.0394550833276987</v>
      </c>
      <c r="F534" s="7" t="n">
        <v>2.59876449194963E-006</v>
      </c>
    </row>
    <row r="535" customFormat="false" ht="15" hidden="false" customHeight="true" outlineLevel="0" collapsed="false">
      <c r="A535" s="5" t="s">
        <v>88</v>
      </c>
      <c r="B535" s="5" t="s">
        <v>75</v>
      </c>
      <c r="C535" s="5" t="s">
        <v>717</v>
      </c>
      <c r="D535" s="6" t="n">
        <v>0.187278339111862</v>
      </c>
      <c r="E535" s="6" t="n">
        <v>0.0396413206598478</v>
      </c>
      <c r="F535" s="7" t="n">
        <v>2.30885034208207E-006</v>
      </c>
    </row>
    <row r="536" customFormat="false" ht="15" hidden="false" customHeight="true" outlineLevel="0" collapsed="false">
      <c r="A536" s="5" t="s">
        <v>88</v>
      </c>
      <c r="B536" s="5" t="s">
        <v>75</v>
      </c>
      <c r="C536" s="5" t="s">
        <v>718</v>
      </c>
      <c r="D536" s="6" t="n">
        <v>0.190127852897226</v>
      </c>
      <c r="E536" s="6" t="n">
        <v>0.0395142730184612</v>
      </c>
      <c r="F536" s="7" t="n">
        <v>1.4970826386682E-006</v>
      </c>
    </row>
    <row r="537" customFormat="false" ht="15" hidden="false" customHeight="true" outlineLevel="0" collapsed="false">
      <c r="A537" s="5" t="s">
        <v>88</v>
      </c>
      <c r="B537" s="5" t="s">
        <v>75</v>
      </c>
      <c r="C537" s="5" t="s">
        <v>719</v>
      </c>
      <c r="D537" s="6" t="n">
        <v>0.187307402525257</v>
      </c>
      <c r="E537" s="6" t="n">
        <v>0.0395860833921566</v>
      </c>
      <c r="F537" s="7" t="n">
        <v>2.22704626139106E-006</v>
      </c>
    </row>
    <row r="538" customFormat="false" ht="15" hidden="false" customHeight="true" outlineLevel="0" collapsed="false">
      <c r="A538" s="5" t="s">
        <v>88</v>
      </c>
      <c r="B538" s="5" t="s">
        <v>75</v>
      </c>
      <c r="C538" s="5" t="s">
        <v>720</v>
      </c>
      <c r="D538" s="6" t="n">
        <v>0.187982332632118</v>
      </c>
      <c r="E538" s="6" t="n">
        <v>0.0396077060566214</v>
      </c>
      <c r="F538" s="7" t="n">
        <v>2.07371070302589E-006</v>
      </c>
    </row>
    <row r="539" customFormat="false" ht="15" hidden="false" customHeight="true" outlineLevel="0" collapsed="false">
      <c r="A539" s="5" t="s">
        <v>88</v>
      </c>
      <c r="B539" s="5" t="s">
        <v>75</v>
      </c>
      <c r="C539" s="5" t="s">
        <v>721</v>
      </c>
      <c r="D539" s="6" t="n">
        <v>0.187935388624924</v>
      </c>
      <c r="E539" s="6" t="n">
        <v>0.039474832410303</v>
      </c>
      <c r="F539" s="7" t="n">
        <v>1.92739785191314E-006</v>
      </c>
    </row>
    <row r="540" customFormat="false" ht="15" hidden="false" customHeight="true" outlineLevel="0" collapsed="false">
      <c r="A540" s="5" t="s">
        <v>88</v>
      </c>
      <c r="B540" s="5" t="s">
        <v>75</v>
      </c>
      <c r="C540" s="5" t="s">
        <v>722</v>
      </c>
      <c r="D540" s="6" t="n">
        <v>0.181168450970473</v>
      </c>
      <c r="E540" s="6" t="n">
        <v>0.0396485284341572</v>
      </c>
      <c r="F540" s="7" t="n">
        <v>4.89212822886594E-006</v>
      </c>
    </row>
    <row r="541" customFormat="false" ht="15" hidden="false" customHeight="true" outlineLevel="0" collapsed="false">
      <c r="A541" s="5" t="s">
        <v>88</v>
      </c>
      <c r="B541" s="5" t="s">
        <v>75</v>
      </c>
      <c r="C541" s="5" t="s">
        <v>723</v>
      </c>
      <c r="D541" s="6" t="n">
        <v>0.188639904580322</v>
      </c>
      <c r="E541" s="6" t="n">
        <v>0.0395788851888043</v>
      </c>
      <c r="F541" s="7" t="n">
        <v>1.87755927434373E-006</v>
      </c>
    </row>
    <row r="542" customFormat="false" ht="15" hidden="false" customHeight="true" outlineLevel="0" collapsed="false">
      <c r="A542" s="5" t="s">
        <v>88</v>
      </c>
      <c r="B542" s="5" t="s">
        <v>75</v>
      </c>
      <c r="C542" s="5" t="s">
        <v>724</v>
      </c>
      <c r="D542" s="6" t="n">
        <v>0.185465266518985</v>
      </c>
      <c r="E542" s="6" t="n">
        <v>0.0395443016845268</v>
      </c>
      <c r="F542" s="7" t="n">
        <v>2.73120932436935E-006</v>
      </c>
    </row>
    <row r="543" customFormat="false" ht="15" hidden="false" customHeight="true" outlineLevel="0" collapsed="false">
      <c r="A543" s="5" t="s">
        <v>88</v>
      </c>
      <c r="B543" s="5" t="s">
        <v>75</v>
      </c>
      <c r="C543" s="5" t="s">
        <v>725</v>
      </c>
      <c r="D543" s="6" t="n">
        <v>0.187058644653491</v>
      </c>
      <c r="E543" s="6" t="n">
        <v>0.0395813602020963</v>
      </c>
      <c r="F543" s="7" t="n">
        <v>2.29067201516928E-006</v>
      </c>
    </row>
    <row r="544" customFormat="false" ht="15" hidden="false" customHeight="true" outlineLevel="0" collapsed="false">
      <c r="A544" s="5" t="s">
        <v>88</v>
      </c>
      <c r="B544" s="5" t="s">
        <v>75</v>
      </c>
      <c r="C544" s="5" t="s">
        <v>726</v>
      </c>
      <c r="D544" s="6" t="n">
        <v>0.18471244629266</v>
      </c>
      <c r="E544" s="6" t="n">
        <v>0.0395263465440846</v>
      </c>
      <c r="F544" s="7" t="n">
        <v>2.96618628765017E-006</v>
      </c>
    </row>
    <row r="545" customFormat="false" ht="15" hidden="false" customHeight="true" outlineLevel="0" collapsed="false">
      <c r="A545" s="5" t="s">
        <v>88</v>
      </c>
      <c r="B545" s="5" t="s">
        <v>75</v>
      </c>
      <c r="C545" s="5" t="s">
        <v>727</v>
      </c>
      <c r="D545" s="6" t="n">
        <v>0.187141173733931</v>
      </c>
      <c r="E545" s="6" t="n">
        <v>0.0396058247336185</v>
      </c>
      <c r="F545" s="7" t="n">
        <v>2.30010967594379E-006</v>
      </c>
    </row>
    <row r="546" customFormat="false" ht="15" hidden="false" customHeight="true" outlineLevel="0" collapsed="false">
      <c r="A546" s="5" t="s">
        <v>88</v>
      </c>
      <c r="B546" s="5" t="s">
        <v>75</v>
      </c>
      <c r="C546" s="5" t="s">
        <v>728</v>
      </c>
      <c r="D546" s="6" t="n">
        <v>0.187374311127207</v>
      </c>
      <c r="E546" s="6" t="n">
        <v>0.0396156862721012</v>
      </c>
      <c r="F546" s="7" t="n">
        <v>2.24740059845845E-006</v>
      </c>
    </row>
    <row r="547" customFormat="false" ht="15" hidden="false" customHeight="true" outlineLevel="0" collapsed="false">
      <c r="A547" s="5" t="s">
        <v>88</v>
      </c>
      <c r="B547" s="5" t="s">
        <v>75</v>
      </c>
      <c r="C547" s="5" t="s">
        <v>729</v>
      </c>
      <c r="D547" s="6" t="n">
        <v>0.19002381405948</v>
      </c>
      <c r="E547" s="6" t="n">
        <v>0.0395173340008941</v>
      </c>
      <c r="F547" s="7" t="n">
        <v>1.51976337721223E-006</v>
      </c>
    </row>
    <row r="548" customFormat="false" ht="15" hidden="false" customHeight="true" outlineLevel="0" collapsed="false">
      <c r="A548" s="5" t="s">
        <v>88</v>
      </c>
      <c r="B548" s="5" t="s">
        <v>75</v>
      </c>
      <c r="C548" s="5" t="s">
        <v>730</v>
      </c>
      <c r="D548" s="6" t="n">
        <v>0.187671433486938</v>
      </c>
      <c r="E548" s="6" t="n">
        <v>0.0396259074745875</v>
      </c>
      <c r="F548" s="7" t="n">
        <v>2.1789253853014E-006</v>
      </c>
    </row>
    <row r="549" customFormat="false" ht="15" hidden="false" customHeight="true" outlineLevel="0" collapsed="false">
      <c r="A549" s="5" t="s">
        <v>88</v>
      </c>
      <c r="B549" s="5" t="s">
        <v>75</v>
      </c>
      <c r="C549" s="5" t="s">
        <v>731</v>
      </c>
      <c r="D549" s="6" t="n">
        <v>0.190359191274869</v>
      </c>
      <c r="E549" s="6" t="n">
        <v>0.039650532043214</v>
      </c>
      <c r="F549" s="7" t="n">
        <v>1.5793519594304E-006</v>
      </c>
    </row>
    <row r="550" customFormat="false" ht="15" hidden="false" customHeight="true" outlineLevel="0" collapsed="false">
      <c r="A550" s="5" t="s">
        <v>88</v>
      </c>
      <c r="B550" s="5" t="s">
        <v>75</v>
      </c>
      <c r="C550" s="5" t="s">
        <v>190</v>
      </c>
      <c r="D550" s="6" t="n">
        <v>0.188212102223776</v>
      </c>
      <c r="E550" s="6" t="n">
        <v>0.0396149389586721</v>
      </c>
      <c r="F550" s="7" t="n">
        <v>2.02374540368633E-006</v>
      </c>
    </row>
    <row r="551" customFormat="false" ht="15" hidden="false" customHeight="true" outlineLevel="0" collapsed="false">
      <c r="A551" s="5" t="s">
        <v>88</v>
      </c>
      <c r="B551" s="5" t="s">
        <v>75</v>
      </c>
      <c r="C551" s="5" t="s">
        <v>732</v>
      </c>
      <c r="D551" s="6" t="n">
        <v>0.186530354206685</v>
      </c>
      <c r="E551" s="6" t="n">
        <v>0.0395841038269312</v>
      </c>
      <c r="F551" s="7" t="n">
        <v>2.44991663668144E-006</v>
      </c>
    </row>
    <row r="552" customFormat="false" ht="15" hidden="false" customHeight="true" outlineLevel="0" collapsed="false">
      <c r="A552" s="5" t="s">
        <v>88</v>
      </c>
      <c r="B552" s="5" t="s">
        <v>75</v>
      </c>
      <c r="C552" s="5" t="s">
        <v>733</v>
      </c>
      <c r="D552" s="6" t="n">
        <v>0.187307997006831</v>
      </c>
      <c r="E552" s="6" t="n">
        <v>0.03961902119568</v>
      </c>
      <c r="F552" s="7" t="n">
        <v>2.27044889788694E-006</v>
      </c>
    </row>
    <row r="553" customFormat="false" ht="15" hidden="false" customHeight="true" outlineLevel="0" collapsed="false">
      <c r="A553" s="5" t="s">
        <v>88</v>
      </c>
      <c r="B553" s="5" t="s">
        <v>75</v>
      </c>
      <c r="C553" s="5" t="s">
        <v>734</v>
      </c>
      <c r="D553" s="6" t="n">
        <v>0.188792537383933</v>
      </c>
      <c r="E553" s="6" t="n">
        <v>0.0396046595289691</v>
      </c>
      <c r="F553" s="7" t="n">
        <v>1.87056658451646E-006</v>
      </c>
    </row>
    <row r="554" customFormat="false" ht="15" hidden="false" customHeight="true" outlineLevel="0" collapsed="false">
      <c r="A554" s="5" t="s">
        <v>88</v>
      </c>
      <c r="B554" s="5" t="s">
        <v>75</v>
      </c>
      <c r="C554" s="5" t="s">
        <v>735</v>
      </c>
      <c r="D554" s="6" t="n">
        <v>0.190120107955783</v>
      </c>
      <c r="E554" s="6" t="n">
        <v>0.0394362721983311</v>
      </c>
      <c r="F554" s="7" t="n">
        <v>1.42879592291944E-006</v>
      </c>
    </row>
    <row r="555" customFormat="false" ht="15" hidden="false" customHeight="true" outlineLevel="0" collapsed="false">
      <c r="A555" s="5" t="s">
        <v>88</v>
      </c>
      <c r="B555" s="5" t="s">
        <v>75</v>
      </c>
      <c r="C555" s="5" t="s">
        <v>736</v>
      </c>
      <c r="D555" s="6" t="n">
        <v>0.188045726476367</v>
      </c>
      <c r="E555" s="6" t="n">
        <v>0.0395943440547698</v>
      </c>
      <c r="F555" s="7" t="n">
        <v>2.04114094131547E-006</v>
      </c>
    </row>
    <row r="556" customFormat="false" ht="15" hidden="false" customHeight="true" outlineLevel="0" collapsed="false">
      <c r="A556" s="5" t="s">
        <v>88</v>
      </c>
      <c r="B556" s="5" t="s">
        <v>75</v>
      </c>
      <c r="C556" s="5" t="s">
        <v>737</v>
      </c>
      <c r="D556" s="6" t="n">
        <v>0.188333956900031</v>
      </c>
      <c r="E556" s="6" t="n">
        <v>0.0395912866664525</v>
      </c>
      <c r="F556" s="7" t="n">
        <v>1.9653525731738E-006</v>
      </c>
    </row>
    <row r="557" customFormat="false" ht="15" hidden="false" customHeight="true" outlineLevel="0" collapsed="false">
      <c r="A557" s="5" t="s">
        <v>88</v>
      </c>
      <c r="B557" s="5" t="s">
        <v>75</v>
      </c>
      <c r="C557" s="5" t="s">
        <v>738</v>
      </c>
      <c r="D557" s="6" t="n">
        <v>0.186663265481802</v>
      </c>
      <c r="E557" s="6" t="n">
        <v>0.0396027567658093</v>
      </c>
      <c r="F557" s="7" t="n">
        <v>2.43628429176493E-006</v>
      </c>
    </row>
    <row r="558" customFormat="false" ht="15" hidden="false" customHeight="true" outlineLevel="0" collapsed="false">
      <c r="A558" s="5" t="s">
        <v>88</v>
      </c>
      <c r="B558" s="5" t="s">
        <v>75</v>
      </c>
      <c r="C558" s="5" t="s">
        <v>739</v>
      </c>
      <c r="D558" s="6" t="n">
        <v>0.190596938888784</v>
      </c>
      <c r="E558" s="6" t="n">
        <v>0.0395068284945566</v>
      </c>
      <c r="F558" s="7" t="n">
        <v>1.40421863178941E-006</v>
      </c>
    </row>
    <row r="559" customFormat="false" ht="15" hidden="false" customHeight="true" outlineLevel="0" collapsed="false">
      <c r="A559" s="5" t="s">
        <v>88</v>
      </c>
      <c r="B559" s="5" t="s">
        <v>75</v>
      </c>
      <c r="C559" s="5" t="s">
        <v>740</v>
      </c>
      <c r="D559" s="6" t="n">
        <v>0.186379037764768</v>
      </c>
      <c r="E559" s="6" t="n">
        <v>0.0395783688705942</v>
      </c>
      <c r="F559" s="7" t="n">
        <v>2.48796303923353E-006</v>
      </c>
    </row>
    <row r="560" customFormat="false" ht="15" hidden="false" customHeight="true" outlineLevel="0" collapsed="false">
      <c r="A560" s="5" t="s">
        <v>88</v>
      </c>
      <c r="B560" s="5" t="s">
        <v>75</v>
      </c>
      <c r="C560" s="5" t="s">
        <v>741</v>
      </c>
      <c r="D560" s="6" t="n">
        <v>0.189192518581177</v>
      </c>
      <c r="E560" s="6" t="n">
        <v>0.0394424169583452</v>
      </c>
      <c r="F560" s="7" t="n">
        <v>1.6131973285103E-006</v>
      </c>
    </row>
    <row r="561" customFormat="false" ht="15" hidden="false" customHeight="true" outlineLevel="0" collapsed="false">
      <c r="A561" s="5" t="s">
        <v>88</v>
      </c>
      <c r="B561" s="5" t="s">
        <v>75</v>
      </c>
      <c r="C561" s="5" t="s">
        <v>742</v>
      </c>
      <c r="D561" s="6" t="n">
        <v>0.187715672732738</v>
      </c>
      <c r="E561" s="6" t="n">
        <v>0.0396066559461213</v>
      </c>
      <c r="F561" s="7" t="n">
        <v>2.14248187363905E-006</v>
      </c>
    </row>
    <row r="562" customFormat="false" ht="15" hidden="false" customHeight="true" outlineLevel="0" collapsed="false">
      <c r="A562" s="5" t="s">
        <v>88</v>
      </c>
      <c r="B562" s="5" t="s">
        <v>75</v>
      </c>
      <c r="C562" s="5" t="s">
        <v>743</v>
      </c>
      <c r="D562" s="6" t="n">
        <v>0.185581215621597</v>
      </c>
      <c r="E562" s="6" t="n">
        <v>0.0395566061904547</v>
      </c>
      <c r="F562" s="7" t="n">
        <v>2.71162429041051E-006</v>
      </c>
    </row>
    <row r="563" customFormat="false" ht="15" hidden="false" customHeight="true" outlineLevel="0" collapsed="false">
      <c r="A563" s="5" t="s">
        <v>88</v>
      </c>
      <c r="B563" s="5" t="s">
        <v>75</v>
      </c>
      <c r="C563" s="5" t="s">
        <v>182</v>
      </c>
      <c r="D563" s="6" t="n">
        <v>0.184503918297583</v>
      </c>
      <c r="E563" s="6" t="n">
        <v>0.0394097819778199</v>
      </c>
      <c r="F563" s="7" t="n">
        <v>2.8453585892912E-006</v>
      </c>
    </row>
    <row r="564" customFormat="false" ht="15" hidden="false" customHeight="true" outlineLevel="0" collapsed="false">
      <c r="A564" s="5" t="s">
        <v>88</v>
      </c>
      <c r="B564" s="5" t="s">
        <v>75</v>
      </c>
      <c r="C564" s="5" t="s">
        <v>744</v>
      </c>
      <c r="D564" s="6" t="n">
        <v>0.187398684477219</v>
      </c>
      <c r="E564" s="6" t="n">
        <v>0.0395895584386017</v>
      </c>
      <c r="F564" s="7" t="n">
        <v>2.20639489328688E-006</v>
      </c>
    </row>
    <row r="565" customFormat="false" ht="15" hidden="false" customHeight="true" outlineLevel="0" collapsed="false">
      <c r="A565" s="5" t="s">
        <v>88</v>
      </c>
      <c r="B565" s="5" t="s">
        <v>75</v>
      </c>
      <c r="C565" s="5" t="s">
        <v>745</v>
      </c>
      <c r="D565" s="6" t="n">
        <v>0.185614854265336</v>
      </c>
      <c r="E565" s="6" t="n">
        <v>0.039506937905746</v>
      </c>
      <c r="F565" s="7" t="n">
        <v>2.62355152464722E-006</v>
      </c>
    </row>
    <row r="566" customFormat="false" ht="15" hidden="false" customHeight="true" outlineLevel="0" collapsed="false">
      <c r="A566" s="5" t="s">
        <v>88</v>
      </c>
      <c r="B566" s="5" t="s">
        <v>75</v>
      </c>
      <c r="C566" s="5" t="s">
        <v>746</v>
      </c>
      <c r="D566" s="6" t="n">
        <v>0.178113847350469</v>
      </c>
      <c r="E566" s="6" t="n">
        <v>0.0397393592612176</v>
      </c>
      <c r="F566" s="7" t="n">
        <v>7.39289612082837E-006</v>
      </c>
    </row>
    <row r="567" customFormat="false" ht="15" hidden="false" customHeight="true" outlineLevel="0" collapsed="false">
      <c r="A567" s="5" t="s">
        <v>88</v>
      </c>
      <c r="B567" s="5" t="s">
        <v>75</v>
      </c>
      <c r="C567" s="5" t="s">
        <v>747</v>
      </c>
      <c r="D567" s="6" t="n">
        <v>0.187363173297974</v>
      </c>
      <c r="E567" s="6" t="n">
        <v>0.0396016688538955</v>
      </c>
      <c r="F567" s="7" t="n">
        <v>2.23203214601603E-006</v>
      </c>
    </row>
    <row r="568" customFormat="false" ht="15" hidden="false" customHeight="true" outlineLevel="0" collapsed="false">
      <c r="A568" s="5" t="s">
        <v>88</v>
      </c>
      <c r="B568" s="5" t="s">
        <v>75</v>
      </c>
      <c r="C568" s="5" t="s">
        <v>748</v>
      </c>
      <c r="D568" s="6" t="n">
        <v>0.187844257042394</v>
      </c>
      <c r="E568" s="6" t="n">
        <v>0.0395965274921385</v>
      </c>
      <c r="F568" s="7" t="n">
        <v>2.0958248591783E-006</v>
      </c>
    </row>
    <row r="569" customFormat="false" ht="15" hidden="false" customHeight="true" outlineLevel="0" collapsed="false">
      <c r="A569" s="5" t="s">
        <v>88</v>
      </c>
      <c r="B569" s="5" t="s">
        <v>75</v>
      </c>
      <c r="C569" s="5" t="s">
        <v>749</v>
      </c>
      <c r="D569" s="6" t="n">
        <v>0.187014722826787</v>
      </c>
      <c r="E569" s="6" t="n">
        <v>0.0396141794914935</v>
      </c>
      <c r="F569" s="7" t="n">
        <v>2.3479920018265E-006</v>
      </c>
    </row>
    <row r="570" customFormat="false" ht="15" hidden="false" customHeight="true" outlineLevel="0" collapsed="false">
      <c r="A570" s="5" t="s">
        <v>88</v>
      </c>
      <c r="B570" s="5" t="s">
        <v>75</v>
      </c>
      <c r="C570" s="5" t="s">
        <v>750</v>
      </c>
      <c r="D570" s="6" t="n">
        <v>0.188368333418538</v>
      </c>
      <c r="E570" s="6" t="n">
        <v>0.0395571017583085</v>
      </c>
      <c r="F570" s="7" t="n">
        <v>1.91745783709026E-006</v>
      </c>
    </row>
    <row r="571" customFormat="false" ht="15" hidden="false" customHeight="true" outlineLevel="0" collapsed="false">
      <c r="A571" s="5" t="s">
        <v>88</v>
      </c>
      <c r="B571" s="5" t="s">
        <v>75</v>
      </c>
      <c r="C571" s="5" t="s">
        <v>751</v>
      </c>
      <c r="D571" s="6" t="n">
        <v>0.190866610608794</v>
      </c>
      <c r="E571" s="6" t="n">
        <v>0.0393528791096807</v>
      </c>
      <c r="F571" s="7" t="n">
        <v>1.23380092500191E-006</v>
      </c>
    </row>
    <row r="572" customFormat="false" ht="15" hidden="false" customHeight="true" outlineLevel="0" collapsed="false">
      <c r="A572" s="5" t="s">
        <v>88</v>
      </c>
      <c r="B572" s="5" t="s">
        <v>75</v>
      </c>
      <c r="C572" s="5" t="s">
        <v>752</v>
      </c>
      <c r="D572" s="6" t="n">
        <v>0.188287281486407</v>
      </c>
      <c r="E572" s="6" t="n">
        <v>0.0395848057291243</v>
      </c>
      <c r="F572" s="7" t="n">
        <v>1.9692519906353E-006</v>
      </c>
    </row>
    <row r="573" customFormat="false" ht="15" hidden="false" customHeight="true" outlineLevel="0" collapsed="false">
      <c r="A573" s="5" t="s">
        <v>88</v>
      </c>
      <c r="B573" s="5" t="s">
        <v>75</v>
      </c>
      <c r="C573" s="5" t="s">
        <v>753</v>
      </c>
      <c r="D573" s="6" t="n">
        <v>0.182931330594681</v>
      </c>
      <c r="E573" s="6" t="n">
        <v>0.03952738257961</v>
      </c>
      <c r="F573" s="7" t="n">
        <v>3.69276969801915E-006</v>
      </c>
    </row>
    <row r="574" customFormat="false" ht="15" hidden="false" customHeight="true" outlineLevel="0" collapsed="false">
      <c r="A574" s="5" t="s">
        <v>88</v>
      </c>
      <c r="B574" s="5" t="s">
        <v>75</v>
      </c>
      <c r="C574" s="5" t="s">
        <v>754</v>
      </c>
      <c r="D574" s="6" t="n">
        <v>0.187553740739373</v>
      </c>
      <c r="E574" s="6" t="n">
        <v>0.0395926819881302</v>
      </c>
      <c r="F574" s="7" t="n">
        <v>2.16818544556371E-006</v>
      </c>
    </row>
    <row r="575" customFormat="false" ht="15" hidden="false" customHeight="true" outlineLevel="0" collapsed="false">
      <c r="A575" s="5" t="s">
        <v>88</v>
      </c>
      <c r="B575" s="5" t="s">
        <v>75</v>
      </c>
      <c r="C575" s="5" t="s">
        <v>755</v>
      </c>
      <c r="D575" s="6" t="n">
        <v>0.185649566172941</v>
      </c>
      <c r="E575" s="6" t="n">
        <v>0.0395948921214048</v>
      </c>
      <c r="F575" s="7" t="n">
        <v>2.74912343329894E-006</v>
      </c>
    </row>
    <row r="576" customFormat="false" ht="15" hidden="false" customHeight="true" outlineLevel="0" collapsed="false">
      <c r="A576" s="5" t="s">
        <v>88</v>
      </c>
      <c r="B576" s="5" t="s">
        <v>75</v>
      </c>
      <c r="C576" s="5" t="s">
        <v>756</v>
      </c>
      <c r="D576" s="6" t="n">
        <v>0.190378498894386</v>
      </c>
      <c r="E576" s="6" t="n">
        <v>0.0395381682141137</v>
      </c>
      <c r="F576" s="7" t="n">
        <v>1.4715852635768E-006</v>
      </c>
    </row>
    <row r="577" customFormat="false" ht="15" hidden="false" customHeight="true" outlineLevel="0" collapsed="false">
      <c r="A577" s="5" t="s">
        <v>88</v>
      </c>
      <c r="B577" s="5" t="s">
        <v>75</v>
      </c>
      <c r="C577" s="5" t="s">
        <v>757</v>
      </c>
      <c r="D577" s="6" t="n">
        <v>0.190822130921115</v>
      </c>
      <c r="E577" s="6" t="n">
        <v>0.0395663588924029</v>
      </c>
      <c r="F577" s="7" t="n">
        <v>1.4153006449016E-006</v>
      </c>
    </row>
    <row r="578" customFormat="false" ht="15" hidden="false" customHeight="true" outlineLevel="0" collapsed="false">
      <c r="A578" s="5" t="s">
        <v>88</v>
      </c>
      <c r="B578" s="5" t="s">
        <v>75</v>
      </c>
      <c r="C578" s="5" t="s">
        <v>758</v>
      </c>
      <c r="D578" s="6" t="n">
        <v>0.186807469466639</v>
      </c>
      <c r="E578" s="6" t="n">
        <v>0.0396635567782888</v>
      </c>
      <c r="F578" s="7" t="n">
        <v>2.47958462645262E-006</v>
      </c>
    </row>
    <row r="579" customFormat="false" ht="15" hidden="false" customHeight="true" outlineLevel="0" collapsed="false">
      <c r="A579" s="5" t="s">
        <v>88</v>
      </c>
      <c r="B579" s="5" t="s">
        <v>75</v>
      </c>
      <c r="C579" s="5" t="s">
        <v>759</v>
      </c>
      <c r="D579" s="6" t="n">
        <v>0.187205834534413</v>
      </c>
      <c r="E579" s="6" t="n">
        <v>0.0395899079942225</v>
      </c>
      <c r="F579" s="7" t="n">
        <v>2.26045277909691E-006</v>
      </c>
    </row>
    <row r="580" customFormat="false" ht="15" hidden="false" customHeight="true" outlineLevel="0" collapsed="false">
      <c r="A580" s="5" t="s">
        <v>88</v>
      </c>
      <c r="B580" s="5" t="s">
        <v>75</v>
      </c>
      <c r="C580" s="5" t="s">
        <v>760</v>
      </c>
      <c r="D580" s="6" t="n">
        <v>0.186622048227635</v>
      </c>
      <c r="E580" s="6" t="n">
        <v>0.0395697326275598</v>
      </c>
      <c r="F580" s="7" t="n">
        <v>2.40192556041838E-006</v>
      </c>
    </row>
    <row r="581" customFormat="false" ht="15" hidden="false" customHeight="true" outlineLevel="0" collapsed="false">
      <c r="A581" s="5" t="s">
        <v>88</v>
      </c>
      <c r="B581" s="5" t="s">
        <v>75</v>
      </c>
      <c r="C581" s="5" t="s">
        <v>761</v>
      </c>
      <c r="D581" s="6" t="n">
        <v>0.187540086801451</v>
      </c>
      <c r="E581" s="6" t="n">
        <v>0.0396140264163169</v>
      </c>
      <c r="F581" s="7" t="n">
        <v>2.19938225671203E-006</v>
      </c>
    </row>
    <row r="582" customFormat="false" ht="15" hidden="false" customHeight="true" outlineLevel="0" collapsed="false">
      <c r="A582" s="5" t="s">
        <v>88</v>
      </c>
      <c r="B582" s="5" t="s">
        <v>75</v>
      </c>
      <c r="C582" s="5" t="s">
        <v>762</v>
      </c>
      <c r="D582" s="6" t="n">
        <v>0.183133319154568</v>
      </c>
      <c r="E582" s="6" t="n">
        <v>0.0396704769170682</v>
      </c>
      <c r="F582" s="7" t="n">
        <v>3.90523746286719E-006</v>
      </c>
    </row>
    <row r="583" customFormat="false" ht="15" hidden="false" customHeight="true" outlineLevel="0" collapsed="false">
      <c r="A583" s="5" t="s">
        <v>88</v>
      </c>
      <c r="B583" s="5" t="s">
        <v>75</v>
      </c>
      <c r="C583" s="5" t="s">
        <v>763</v>
      </c>
      <c r="D583" s="6" t="n">
        <v>0.18710765669593</v>
      </c>
      <c r="E583" s="6" t="n">
        <v>0.0395693004496576</v>
      </c>
      <c r="F583" s="7" t="n">
        <v>2.26065884672279E-006</v>
      </c>
    </row>
    <row r="584" customFormat="false" ht="15" hidden="false" customHeight="true" outlineLevel="0" collapsed="false">
      <c r="A584" s="5" t="s">
        <v>88</v>
      </c>
      <c r="B584" s="5" t="s">
        <v>75</v>
      </c>
      <c r="C584" s="5" t="s">
        <v>764</v>
      </c>
      <c r="D584" s="6" t="n">
        <v>0.185347586562781</v>
      </c>
      <c r="E584" s="6" t="n">
        <v>0.0395590729184817</v>
      </c>
      <c r="F584" s="7" t="n">
        <v>2.79499712315677E-006</v>
      </c>
    </row>
    <row r="585" customFormat="false" ht="15" hidden="false" customHeight="true" outlineLevel="0" collapsed="false">
      <c r="A585" s="5" t="s">
        <v>88</v>
      </c>
      <c r="B585" s="5" t="s">
        <v>75</v>
      </c>
      <c r="C585" s="5" t="s">
        <v>765</v>
      </c>
      <c r="D585" s="6" t="n">
        <v>0.187001354232287</v>
      </c>
      <c r="E585" s="6" t="n">
        <v>0.0396035018799993</v>
      </c>
      <c r="F585" s="7" t="n">
        <v>2.33721826987302E-006</v>
      </c>
    </row>
    <row r="586" customFormat="false" ht="15" hidden="false" customHeight="true" outlineLevel="0" collapsed="false">
      <c r="A586" s="5" t="s">
        <v>88</v>
      </c>
      <c r="B586" s="5" t="s">
        <v>75</v>
      </c>
      <c r="C586" s="5" t="s">
        <v>306</v>
      </c>
      <c r="D586" s="6" t="n">
        <v>0.187434525933196</v>
      </c>
      <c r="E586" s="6" t="n">
        <v>0.0395378980603419</v>
      </c>
      <c r="F586" s="7" t="n">
        <v>2.13055222766608E-006</v>
      </c>
    </row>
    <row r="587" customFormat="false" ht="15" hidden="false" customHeight="true" outlineLevel="0" collapsed="false">
      <c r="A587" s="5" t="s">
        <v>74</v>
      </c>
      <c r="B587" s="5" t="s">
        <v>79</v>
      </c>
      <c r="C587" s="5" t="s">
        <v>205</v>
      </c>
      <c r="D587" s="6" t="n">
        <v>0.00101542803064591</v>
      </c>
      <c r="E587" s="6" t="n">
        <v>0.000452560286371678</v>
      </c>
      <c r="F587" s="7" t="n">
        <v>0.0248490760147544</v>
      </c>
    </row>
    <row r="588" customFormat="false" ht="15" hidden="false" customHeight="true" outlineLevel="0" collapsed="false">
      <c r="A588" s="5" t="s">
        <v>74</v>
      </c>
      <c r="B588" s="5" t="s">
        <v>79</v>
      </c>
      <c r="C588" s="5" t="s">
        <v>169</v>
      </c>
      <c r="D588" s="6" t="n">
        <v>0.00103539473858455</v>
      </c>
      <c r="E588" s="6" t="n">
        <v>0.000449983309457659</v>
      </c>
      <c r="F588" s="7" t="n">
        <v>0.0213937485687407</v>
      </c>
    </row>
    <row r="589" customFormat="false" ht="15" hidden="false" customHeight="true" outlineLevel="0" collapsed="false">
      <c r="A589" s="5" t="s">
        <v>74</v>
      </c>
      <c r="B589" s="5" t="s">
        <v>79</v>
      </c>
      <c r="C589" s="5" t="s">
        <v>206</v>
      </c>
      <c r="D589" s="6" t="n">
        <v>0.00104922684517204</v>
      </c>
      <c r="E589" s="6" t="n">
        <v>0.00044697579700286</v>
      </c>
      <c r="F589" s="7" t="n">
        <v>0.0189054172008244</v>
      </c>
    </row>
    <row r="590" customFormat="false" ht="15" hidden="false" customHeight="true" outlineLevel="0" collapsed="false">
      <c r="A590" s="5" t="s">
        <v>74</v>
      </c>
      <c r="B590" s="5" t="s">
        <v>79</v>
      </c>
      <c r="C590" s="5" t="s">
        <v>207</v>
      </c>
      <c r="D590" s="6" t="n">
        <v>0.000989384907461346</v>
      </c>
      <c r="E590" s="6" t="n">
        <v>0.000455690489258678</v>
      </c>
      <c r="F590" s="7" t="n">
        <v>0.029917762415222</v>
      </c>
    </row>
    <row r="591" customFormat="false" ht="15" hidden="false" customHeight="true" outlineLevel="0" collapsed="false">
      <c r="A591" s="5" t="s">
        <v>74</v>
      </c>
      <c r="B591" s="5" t="s">
        <v>79</v>
      </c>
      <c r="C591" s="5" t="s">
        <v>208</v>
      </c>
      <c r="D591" s="6" t="n">
        <v>0.000956177663093756</v>
      </c>
      <c r="E591" s="6" t="n">
        <v>0.000455070708394349</v>
      </c>
      <c r="F591" s="7" t="n">
        <v>0.0356266739728127</v>
      </c>
    </row>
    <row r="592" customFormat="false" ht="15" hidden="false" customHeight="true" outlineLevel="0" collapsed="false">
      <c r="A592" s="5" t="s">
        <v>74</v>
      </c>
      <c r="B592" s="5" t="s">
        <v>79</v>
      </c>
      <c r="C592" s="5" t="s">
        <v>209</v>
      </c>
      <c r="D592" s="6" t="n">
        <v>0.00100886676707109</v>
      </c>
      <c r="E592" s="6" t="n">
        <v>0.000454737842953282</v>
      </c>
      <c r="F592" s="7" t="n">
        <v>0.02651613754153</v>
      </c>
    </row>
    <row r="593" customFormat="false" ht="15" hidden="false" customHeight="true" outlineLevel="0" collapsed="false">
      <c r="A593" s="5" t="s">
        <v>74</v>
      </c>
      <c r="B593" s="5" t="s">
        <v>79</v>
      </c>
      <c r="C593" s="5" t="s">
        <v>210</v>
      </c>
      <c r="D593" s="6" t="n">
        <v>0.000965580601927103</v>
      </c>
      <c r="E593" s="6" t="n">
        <v>0.000455365115352048</v>
      </c>
      <c r="F593" s="7" t="n">
        <v>0.0339678098946531</v>
      </c>
    </row>
    <row r="594" customFormat="false" ht="15" hidden="false" customHeight="true" outlineLevel="0" collapsed="false">
      <c r="A594" s="5" t="s">
        <v>74</v>
      </c>
      <c r="B594" s="5" t="s">
        <v>79</v>
      </c>
      <c r="C594" s="5" t="s">
        <v>173</v>
      </c>
      <c r="D594" s="6" t="n">
        <v>0.000941080930841757</v>
      </c>
      <c r="E594" s="6" t="n">
        <v>0.000455916343307679</v>
      </c>
      <c r="F594" s="7" t="n">
        <v>0.0390032447824474</v>
      </c>
    </row>
    <row r="595" customFormat="false" ht="15" hidden="false" customHeight="true" outlineLevel="0" collapsed="false">
      <c r="A595" s="5" t="s">
        <v>74</v>
      </c>
      <c r="B595" s="5" t="s">
        <v>79</v>
      </c>
      <c r="C595" s="5" t="s">
        <v>211</v>
      </c>
      <c r="D595" s="6" t="n">
        <v>0.00102442760121507</v>
      </c>
      <c r="E595" s="6" t="n">
        <v>0.000451681598494093</v>
      </c>
      <c r="F595" s="7" t="n">
        <v>0.0233273532284238</v>
      </c>
    </row>
    <row r="596" customFormat="false" ht="15" hidden="false" customHeight="true" outlineLevel="0" collapsed="false">
      <c r="A596" s="5" t="s">
        <v>74</v>
      </c>
      <c r="B596" s="5" t="s">
        <v>79</v>
      </c>
      <c r="C596" s="5" t="s">
        <v>198</v>
      </c>
      <c r="D596" s="6" t="n">
        <v>0.0010853355435143</v>
      </c>
      <c r="E596" s="6" t="n">
        <v>0.000458713785336948</v>
      </c>
      <c r="F596" s="7" t="n">
        <v>0.0179794616355741</v>
      </c>
    </row>
    <row r="597" customFormat="false" ht="15" hidden="false" customHeight="true" outlineLevel="0" collapsed="false">
      <c r="A597" s="5" t="s">
        <v>74</v>
      </c>
      <c r="B597" s="5" t="s">
        <v>79</v>
      </c>
      <c r="C597" s="5" t="s">
        <v>766</v>
      </c>
      <c r="D597" s="6" t="n">
        <v>0.000951847203442607</v>
      </c>
      <c r="E597" s="6" t="n">
        <v>0.00045776165970267</v>
      </c>
      <c r="F597" s="7" t="n">
        <v>0.0375850929991873</v>
      </c>
    </row>
    <row r="598" customFormat="false" ht="15" hidden="false" customHeight="true" outlineLevel="0" collapsed="false">
      <c r="A598" s="5" t="s">
        <v>74</v>
      </c>
      <c r="B598" s="5" t="s">
        <v>79</v>
      </c>
      <c r="C598" s="5" t="s">
        <v>212</v>
      </c>
      <c r="D598" s="6" t="n">
        <v>0.00102327589273851</v>
      </c>
      <c r="E598" s="6" t="n">
        <v>0.000454642270618782</v>
      </c>
      <c r="F598" s="7" t="n">
        <v>0.0244027974924039</v>
      </c>
    </row>
    <row r="599" customFormat="false" ht="15" hidden="false" customHeight="true" outlineLevel="0" collapsed="false">
      <c r="A599" s="5" t="s">
        <v>74</v>
      </c>
      <c r="B599" s="5" t="s">
        <v>79</v>
      </c>
      <c r="C599" s="5" t="s">
        <v>213</v>
      </c>
      <c r="D599" s="6" t="n">
        <v>0.00100209451043339</v>
      </c>
      <c r="E599" s="6" t="n">
        <v>0.000456011443057446</v>
      </c>
      <c r="F599" s="7" t="n">
        <v>0.0279832915189669</v>
      </c>
    </row>
    <row r="600" customFormat="false" ht="15" hidden="false" customHeight="true" outlineLevel="0" collapsed="false">
      <c r="A600" s="5" t="s">
        <v>74</v>
      </c>
      <c r="B600" s="5" t="s">
        <v>79</v>
      </c>
      <c r="C600" s="5" t="s">
        <v>214</v>
      </c>
      <c r="D600" s="6" t="n">
        <v>0.000978763973416609</v>
      </c>
      <c r="E600" s="6" t="n">
        <v>0.000455995269242119</v>
      </c>
      <c r="F600" s="7" t="n">
        <v>0.0318383300521686</v>
      </c>
    </row>
    <row r="601" customFormat="false" ht="15" hidden="false" customHeight="true" outlineLevel="0" collapsed="false">
      <c r="A601" s="5" t="s">
        <v>74</v>
      </c>
      <c r="B601" s="5" t="s">
        <v>79</v>
      </c>
      <c r="C601" s="5" t="s">
        <v>215</v>
      </c>
      <c r="D601" s="6" t="n">
        <v>0.000995018038016373</v>
      </c>
      <c r="E601" s="6" t="n">
        <v>0.000455236763583342</v>
      </c>
      <c r="F601" s="7" t="n">
        <v>0.0288364281583589</v>
      </c>
    </row>
    <row r="602" customFormat="false" ht="15" hidden="false" customHeight="true" outlineLevel="0" collapsed="false">
      <c r="A602" s="5" t="s">
        <v>74</v>
      </c>
      <c r="B602" s="5" t="s">
        <v>79</v>
      </c>
      <c r="C602" s="5" t="s">
        <v>216</v>
      </c>
      <c r="D602" s="6" t="n">
        <v>0.00097018662076517</v>
      </c>
      <c r="E602" s="6" t="n">
        <v>0.000459332576142602</v>
      </c>
      <c r="F602" s="7" t="n">
        <v>0.0346722191109583</v>
      </c>
    </row>
    <row r="603" customFormat="false" ht="15" hidden="false" customHeight="true" outlineLevel="0" collapsed="false">
      <c r="A603" s="5" t="s">
        <v>74</v>
      </c>
      <c r="B603" s="5" t="s">
        <v>79</v>
      </c>
      <c r="C603" s="5" t="s">
        <v>217</v>
      </c>
      <c r="D603" s="6" t="n">
        <v>0.000975834471771615</v>
      </c>
      <c r="E603" s="6" t="n">
        <v>0.000456796893918567</v>
      </c>
      <c r="F603" s="7" t="n">
        <v>0.0326586661707931</v>
      </c>
    </row>
    <row r="604" customFormat="false" ht="15" hidden="false" customHeight="true" outlineLevel="0" collapsed="false">
      <c r="A604" s="5" t="s">
        <v>74</v>
      </c>
      <c r="B604" s="5" t="s">
        <v>79</v>
      </c>
      <c r="C604" s="5" t="s">
        <v>218</v>
      </c>
      <c r="D604" s="6" t="n">
        <v>0.00099840212084967</v>
      </c>
      <c r="E604" s="6" t="n">
        <v>0.000455304735038465</v>
      </c>
      <c r="F604" s="7" t="n">
        <v>0.0283202250407208</v>
      </c>
    </row>
    <row r="605" customFormat="false" ht="15" hidden="false" customHeight="true" outlineLevel="0" collapsed="false">
      <c r="A605" s="5" t="s">
        <v>74</v>
      </c>
      <c r="B605" s="5" t="s">
        <v>79</v>
      </c>
      <c r="C605" s="5" t="s">
        <v>219</v>
      </c>
      <c r="D605" s="6" t="n">
        <v>0.000999621035196104</v>
      </c>
      <c r="E605" s="6" t="n">
        <v>0.000458265148778199</v>
      </c>
      <c r="F605" s="7" t="n">
        <v>0.0291600624530043</v>
      </c>
    </row>
    <row r="606" customFormat="false" ht="15" hidden="false" customHeight="true" outlineLevel="0" collapsed="false">
      <c r="A606" s="5" t="s">
        <v>74</v>
      </c>
      <c r="B606" s="5" t="s">
        <v>79</v>
      </c>
      <c r="C606" s="5" t="s">
        <v>220</v>
      </c>
      <c r="D606" s="6" t="n">
        <v>0.00100845095658905</v>
      </c>
      <c r="E606" s="6" t="n">
        <v>0.000453948945863847</v>
      </c>
      <c r="F606" s="7" t="n">
        <v>0.0263166119545541</v>
      </c>
    </row>
    <row r="607" customFormat="false" ht="15" hidden="false" customHeight="true" outlineLevel="0" collapsed="false">
      <c r="A607" s="5" t="s">
        <v>74</v>
      </c>
      <c r="B607" s="5" t="s">
        <v>79</v>
      </c>
      <c r="C607" s="5" t="s">
        <v>221</v>
      </c>
      <c r="D607" s="6" t="n">
        <v>0.00101632015850745</v>
      </c>
      <c r="E607" s="6" t="n">
        <v>0.000453247293781114</v>
      </c>
      <c r="F607" s="7" t="n">
        <v>0.0249414551638364</v>
      </c>
    </row>
    <row r="608" customFormat="false" ht="15" hidden="false" customHeight="true" outlineLevel="0" collapsed="false">
      <c r="A608" s="5" t="s">
        <v>74</v>
      </c>
      <c r="B608" s="5" t="s">
        <v>79</v>
      </c>
      <c r="C608" s="5" t="s">
        <v>222</v>
      </c>
      <c r="D608" s="6" t="n">
        <v>0.000930069407458512</v>
      </c>
      <c r="E608" s="6" t="n">
        <v>0.000451760434578496</v>
      </c>
      <c r="F608" s="7" t="n">
        <v>0.0395165786134169</v>
      </c>
    </row>
    <row r="609" customFormat="false" ht="15" hidden="false" customHeight="true" outlineLevel="0" collapsed="false">
      <c r="A609" s="5" t="s">
        <v>74</v>
      </c>
      <c r="B609" s="5" t="s">
        <v>79</v>
      </c>
      <c r="C609" s="5" t="s">
        <v>223</v>
      </c>
      <c r="D609" s="6" t="n">
        <v>0.00105285901916248</v>
      </c>
      <c r="E609" s="6" t="n">
        <v>0.000445371338197424</v>
      </c>
      <c r="F609" s="7" t="n">
        <v>0.0180786837684625</v>
      </c>
    </row>
    <row r="610" customFormat="false" ht="15" hidden="false" customHeight="true" outlineLevel="0" collapsed="false">
      <c r="A610" s="5" t="s">
        <v>74</v>
      </c>
      <c r="B610" s="5" t="s">
        <v>79</v>
      </c>
      <c r="C610" s="5" t="s">
        <v>224</v>
      </c>
      <c r="D610" s="6" t="n">
        <v>0.000936867149711392</v>
      </c>
      <c r="E610" s="6" t="n">
        <v>0.000452487766233298</v>
      </c>
      <c r="F610" s="7" t="n">
        <v>0.0384073592676764</v>
      </c>
    </row>
    <row r="611" customFormat="false" ht="15" hidden="false" customHeight="true" outlineLevel="0" collapsed="false">
      <c r="A611" s="5" t="s">
        <v>74</v>
      </c>
      <c r="B611" s="5" t="s">
        <v>79</v>
      </c>
      <c r="C611" s="5" t="s">
        <v>225</v>
      </c>
      <c r="D611" s="6" t="n">
        <v>0.00100596962831259</v>
      </c>
      <c r="E611" s="6" t="n">
        <v>0.000455147211038011</v>
      </c>
      <c r="F611" s="7" t="n">
        <v>0.0270907877384543</v>
      </c>
    </row>
    <row r="612" customFormat="false" ht="15" hidden="false" customHeight="true" outlineLevel="0" collapsed="false">
      <c r="A612" s="5" t="s">
        <v>74</v>
      </c>
      <c r="B612" s="5" t="s">
        <v>79</v>
      </c>
      <c r="C612" s="5" t="s">
        <v>226</v>
      </c>
      <c r="D612" s="6" t="n">
        <v>0.0009486066961098</v>
      </c>
      <c r="E612" s="6" t="n">
        <v>0.000453909751979915</v>
      </c>
      <c r="F612" s="7" t="n">
        <v>0.0366306029905667</v>
      </c>
    </row>
    <row r="613" customFormat="false" ht="15" hidden="false" customHeight="true" outlineLevel="0" collapsed="false">
      <c r="A613" s="5" t="s">
        <v>74</v>
      </c>
      <c r="B613" s="5" t="s">
        <v>79</v>
      </c>
      <c r="C613" s="5" t="s">
        <v>227</v>
      </c>
      <c r="D613" s="6" t="n">
        <v>0.00100477981524552</v>
      </c>
      <c r="E613" s="6" t="n">
        <v>0.000455214265841885</v>
      </c>
      <c r="F613" s="7" t="n">
        <v>0.0272953517937099</v>
      </c>
    </row>
    <row r="614" customFormat="false" ht="15" hidden="false" customHeight="true" outlineLevel="0" collapsed="false">
      <c r="A614" s="5" t="s">
        <v>74</v>
      </c>
      <c r="B614" s="5" t="s">
        <v>79</v>
      </c>
      <c r="C614" s="5" t="s">
        <v>228</v>
      </c>
      <c r="D614" s="6" t="n">
        <v>0.000936924695473828</v>
      </c>
      <c r="E614" s="6" t="n">
        <v>0.000452618128898576</v>
      </c>
      <c r="F614" s="7" t="n">
        <v>0.0384512750894267</v>
      </c>
    </row>
    <row r="615" customFormat="false" ht="15" hidden="false" customHeight="true" outlineLevel="0" collapsed="false">
      <c r="A615" s="5" t="s">
        <v>74</v>
      </c>
      <c r="B615" s="5" t="s">
        <v>79</v>
      </c>
      <c r="C615" s="5" t="s">
        <v>177</v>
      </c>
      <c r="D615" s="6" t="n">
        <v>0.000910834118651083</v>
      </c>
      <c r="E615" s="6" t="n">
        <v>0.000445186116358631</v>
      </c>
      <c r="F615" s="7" t="n">
        <v>0.0407600561054002</v>
      </c>
    </row>
    <row r="616" customFormat="false" ht="15" hidden="false" customHeight="true" outlineLevel="0" collapsed="false">
      <c r="A616" s="5" t="s">
        <v>74</v>
      </c>
      <c r="B616" s="5" t="s">
        <v>79</v>
      </c>
      <c r="C616" s="5" t="s">
        <v>229</v>
      </c>
      <c r="D616" s="6" t="n">
        <v>0.000897963320523825</v>
      </c>
      <c r="E616" s="6" t="n">
        <v>0.000451241158166808</v>
      </c>
      <c r="F616" s="7" t="n">
        <v>0.0465925428773954</v>
      </c>
    </row>
    <row r="617" customFormat="false" ht="15" hidden="false" customHeight="true" outlineLevel="0" collapsed="false">
      <c r="A617" s="5" t="s">
        <v>74</v>
      </c>
      <c r="B617" s="5" t="s">
        <v>79</v>
      </c>
      <c r="C617" s="5" t="s">
        <v>230</v>
      </c>
      <c r="D617" s="6" t="n">
        <v>0.000945262053266911</v>
      </c>
      <c r="E617" s="6" t="n">
        <v>0.000456530178155144</v>
      </c>
      <c r="F617" s="7" t="n">
        <v>0.0384022021320924</v>
      </c>
    </row>
    <row r="618" customFormat="false" ht="15" hidden="false" customHeight="true" outlineLevel="0" collapsed="false">
      <c r="A618" s="5" t="s">
        <v>74</v>
      </c>
      <c r="B618" s="5" t="s">
        <v>79</v>
      </c>
      <c r="C618" s="5" t="s">
        <v>231</v>
      </c>
      <c r="D618" s="6" t="n">
        <v>0.000949983557234362</v>
      </c>
      <c r="E618" s="6" t="n">
        <v>0.000455832224247496</v>
      </c>
      <c r="F618" s="7" t="n">
        <v>0.0371543404047969</v>
      </c>
    </row>
    <row r="619" customFormat="false" ht="15" hidden="false" customHeight="true" outlineLevel="0" collapsed="false">
      <c r="A619" s="5" t="s">
        <v>74</v>
      </c>
      <c r="B619" s="5" t="s">
        <v>79</v>
      </c>
      <c r="C619" s="5" t="s">
        <v>199</v>
      </c>
      <c r="D619" s="6" t="n">
        <v>0.000935294025632491</v>
      </c>
      <c r="E619" s="6" t="n">
        <v>0.000456180108364879</v>
      </c>
      <c r="F619" s="7" t="n">
        <v>0.0403377408858664</v>
      </c>
    </row>
    <row r="620" customFormat="false" ht="15" hidden="false" customHeight="true" outlineLevel="0" collapsed="false">
      <c r="A620" s="5" t="s">
        <v>74</v>
      </c>
      <c r="B620" s="5" t="s">
        <v>79</v>
      </c>
      <c r="C620" s="5" t="s">
        <v>767</v>
      </c>
      <c r="D620" s="6" t="n">
        <v>0.000940048254275087</v>
      </c>
      <c r="E620" s="6" t="n">
        <v>0.000451924610024593</v>
      </c>
      <c r="F620" s="7" t="n">
        <v>0.0375163873864382</v>
      </c>
    </row>
    <row r="621" customFormat="false" ht="15" hidden="false" customHeight="true" outlineLevel="0" collapsed="false">
      <c r="A621" s="5" t="s">
        <v>74</v>
      </c>
      <c r="B621" s="5" t="s">
        <v>79</v>
      </c>
      <c r="C621" s="5" t="s">
        <v>232</v>
      </c>
      <c r="D621" s="6" t="n">
        <v>0.000974527650919674</v>
      </c>
      <c r="E621" s="6" t="n">
        <v>0.000455876853801926</v>
      </c>
      <c r="F621" s="7" t="n">
        <v>0.0325411528640744</v>
      </c>
    </row>
    <row r="622" customFormat="false" ht="15" hidden="false" customHeight="true" outlineLevel="0" collapsed="false">
      <c r="A622" s="5" t="s">
        <v>74</v>
      </c>
      <c r="B622" s="5" t="s">
        <v>79</v>
      </c>
      <c r="C622" s="5" t="s">
        <v>233</v>
      </c>
      <c r="D622" s="6" t="n">
        <v>0.00104706342970108</v>
      </c>
      <c r="E622" s="6" t="n">
        <v>0.000450329914377488</v>
      </c>
      <c r="F622" s="7" t="n">
        <v>0.0200664538992283</v>
      </c>
    </row>
    <row r="623" customFormat="false" ht="15" hidden="false" customHeight="true" outlineLevel="0" collapsed="false">
      <c r="A623" s="5" t="s">
        <v>74</v>
      </c>
      <c r="B623" s="5" t="s">
        <v>79</v>
      </c>
      <c r="C623" s="5" t="s">
        <v>234</v>
      </c>
      <c r="D623" s="6" t="n">
        <v>0.000986852900179051</v>
      </c>
      <c r="E623" s="6" t="n">
        <v>0.000456036752900755</v>
      </c>
      <c r="F623" s="7" t="n">
        <v>0.0304661389092937</v>
      </c>
    </row>
    <row r="624" customFormat="false" ht="15" hidden="false" customHeight="true" outlineLevel="0" collapsed="false">
      <c r="A624" s="5" t="s">
        <v>74</v>
      </c>
      <c r="B624" s="5" t="s">
        <v>79</v>
      </c>
      <c r="C624" s="5" t="s">
        <v>235</v>
      </c>
      <c r="D624" s="6" t="n">
        <v>0.000975477761804274</v>
      </c>
      <c r="E624" s="6" t="n">
        <v>0.000455742893320371</v>
      </c>
      <c r="F624" s="7" t="n">
        <v>0.0323214494473183</v>
      </c>
    </row>
    <row r="625" customFormat="false" ht="15" hidden="false" customHeight="true" outlineLevel="0" collapsed="false">
      <c r="A625" s="5" t="s">
        <v>74</v>
      </c>
      <c r="B625" s="5" t="s">
        <v>79</v>
      </c>
      <c r="C625" s="5" t="s">
        <v>236</v>
      </c>
      <c r="D625" s="6" t="n">
        <v>0.000990735965837742</v>
      </c>
      <c r="E625" s="6" t="n">
        <v>0.000456001629542574</v>
      </c>
      <c r="F625" s="7" t="n">
        <v>0.0298060047381172</v>
      </c>
    </row>
    <row r="626" customFormat="false" ht="15" hidden="false" customHeight="true" outlineLevel="0" collapsed="false">
      <c r="A626" s="5" t="s">
        <v>74</v>
      </c>
      <c r="B626" s="5" t="s">
        <v>79</v>
      </c>
      <c r="C626" s="5" t="s">
        <v>237</v>
      </c>
      <c r="D626" s="6" t="n">
        <v>0.00096054249293576</v>
      </c>
      <c r="E626" s="6" t="n">
        <v>0.000454912847717589</v>
      </c>
      <c r="F626" s="7" t="n">
        <v>0.0347304875756563</v>
      </c>
    </row>
    <row r="627" customFormat="false" ht="15" hidden="false" customHeight="true" outlineLevel="0" collapsed="false">
      <c r="A627" s="5" t="s">
        <v>74</v>
      </c>
      <c r="B627" s="5" t="s">
        <v>79</v>
      </c>
      <c r="C627" s="5" t="s">
        <v>238</v>
      </c>
      <c r="D627" s="6" t="n">
        <v>0.000956807002269907</v>
      </c>
      <c r="E627" s="6" t="n">
        <v>0.000455155232840346</v>
      </c>
      <c r="F627" s="7" t="n">
        <v>0.0355396706885269</v>
      </c>
    </row>
    <row r="628" customFormat="false" ht="15" hidden="false" customHeight="true" outlineLevel="0" collapsed="false">
      <c r="A628" s="5" t="s">
        <v>74</v>
      </c>
      <c r="B628" s="5" t="s">
        <v>79</v>
      </c>
      <c r="C628" s="5" t="s">
        <v>239</v>
      </c>
      <c r="D628" s="6" t="n">
        <v>0.00088439388784183</v>
      </c>
      <c r="E628" s="6" t="n">
        <v>0.000453568258720918</v>
      </c>
      <c r="F628" s="7" t="n">
        <v>0.0511929963333292</v>
      </c>
    </row>
    <row r="629" customFormat="false" ht="15" hidden="false" customHeight="true" outlineLevel="0" collapsed="false">
      <c r="A629" s="5" t="s">
        <v>74</v>
      </c>
      <c r="B629" s="5" t="s">
        <v>79</v>
      </c>
      <c r="C629" s="5" t="s">
        <v>240</v>
      </c>
      <c r="D629" s="6" t="n">
        <v>0.00100810620262326</v>
      </c>
      <c r="E629" s="6" t="n">
        <v>0.000457120639223748</v>
      </c>
      <c r="F629" s="7" t="n">
        <v>0.0274302799010614</v>
      </c>
    </row>
    <row r="630" customFormat="false" ht="15" hidden="false" customHeight="true" outlineLevel="0" collapsed="false">
      <c r="A630" s="5" t="s">
        <v>74</v>
      </c>
      <c r="B630" s="5" t="s">
        <v>79</v>
      </c>
      <c r="C630" s="5" t="s">
        <v>241</v>
      </c>
      <c r="D630" s="6" t="n">
        <v>0.000984937920855313</v>
      </c>
      <c r="E630" s="6" t="n">
        <v>0.000456132799243954</v>
      </c>
      <c r="F630" s="7" t="n">
        <v>0.0308251379940689</v>
      </c>
    </row>
    <row r="631" customFormat="false" ht="15" hidden="false" customHeight="true" outlineLevel="0" collapsed="false">
      <c r="A631" s="5" t="s">
        <v>74</v>
      </c>
      <c r="B631" s="5" t="s">
        <v>79</v>
      </c>
      <c r="C631" s="5" t="s">
        <v>242</v>
      </c>
      <c r="D631" s="6" t="n">
        <v>0.000959647910008106</v>
      </c>
      <c r="E631" s="6" t="n">
        <v>0.000455240851855804</v>
      </c>
      <c r="F631" s="7" t="n">
        <v>0.0350309525149308</v>
      </c>
    </row>
    <row r="632" customFormat="false" ht="15" hidden="false" customHeight="true" outlineLevel="0" collapsed="false">
      <c r="A632" s="5" t="s">
        <v>74</v>
      </c>
      <c r="B632" s="5" t="s">
        <v>79</v>
      </c>
      <c r="C632" s="5" t="s">
        <v>243</v>
      </c>
      <c r="D632" s="6" t="n">
        <v>0.00102690266539174</v>
      </c>
      <c r="E632" s="6" t="n">
        <v>0.000453891829978429</v>
      </c>
      <c r="F632" s="7" t="n">
        <v>0.0236702817581823</v>
      </c>
    </row>
    <row r="633" customFormat="false" ht="15" hidden="false" customHeight="true" outlineLevel="0" collapsed="false">
      <c r="A633" s="5" t="s">
        <v>74</v>
      </c>
      <c r="B633" s="5" t="s">
        <v>79</v>
      </c>
      <c r="C633" s="5" t="s">
        <v>244</v>
      </c>
      <c r="D633" s="6" t="n">
        <v>0.000987649802560223</v>
      </c>
      <c r="E633" s="6" t="n">
        <v>0.000455925089394456</v>
      </c>
      <c r="F633" s="7" t="n">
        <v>0.0302917401913812</v>
      </c>
    </row>
    <row r="634" customFormat="false" ht="15" hidden="false" customHeight="true" outlineLevel="0" collapsed="false">
      <c r="A634" s="5" t="s">
        <v>74</v>
      </c>
      <c r="B634" s="5" t="s">
        <v>79</v>
      </c>
      <c r="C634" s="5" t="s">
        <v>245</v>
      </c>
      <c r="D634" s="6" t="n">
        <v>0.000993996443096733</v>
      </c>
      <c r="E634" s="6" t="n">
        <v>0.000456187579350129</v>
      </c>
      <c r="F634" s="7" t="n">
        <v>0.0293375787241742</v>
      </c>
    </row>
    <row r="635" customFormat="false" ht="15" hidden="false" customHeight="true" outlineLevel="0" collapsed="false">
      <c r="A635" s="5" t="s">
        <v>74</v>
      </c>
      <c r="B635" s="5" t="s">
        <v>79</v>
      </c>
      <c r="C635" s="5" t="s">
        <v>246</v>
      </c>
      <c r="D635" s="6" t="n">
        <v>0.000968544998967131</v>
      </c>
      <c r="E635" s="6" t="n">
        <v>0.000455439134102302</v>
      </c>
      <c r="F635" s="7" t="n">
        <v>0.033451846911493</v>
      </c>
    </row>
    <row r="636" customFormat="false" ht="15" hidden="false" customHeight="true" outlineLevel="0" collapsed="false">
      <c r="A636" s="5" t="s">
        <v>74</v>
      </c>
      <c r="B636" s="5" t="s">
        <v>79</v>
      </c>
      <c r="C636" s="5" t="s">
        <v>247</v>
      </c>
      <c r="D636" s="6" t="n">
        <v>0.000974002599672142</v>
      </c>
      <c r="E636" s="6" t="n">
        <v>0.000456550091377727</v>
      </c>
      <c r="F636" s="7" t="n">
        <v>0.0328921721701492</v>
      </c>
    </row>
    <row r="637" customFormat="false" ht="15" hidden="false" customHeight="true" outlineLevel="0" collapsed="false">
      <c r="A637" s="5" t="s">
        <v>74</v>
      </c>
      <c r="B637" s="5" t="s">
        <v>79</v>
      </c>
      <c r="C637" s="5" t="s">
        <v>248</v>
      </c>
      <c r="D637" s="6" t="n">
        <v>0.000983325530824998</v>
      </c>
      <c r="E637" s="6" t="n">
        <v>0.000456073303250293</v>
      </c>
      <c r="F637" s="7" t="n">
        <v>0.0310782742858247</v>
      </c>
    </row>
    <row r="638" customFormat="false" ht="15" hidden="false" customHeight="true" outlineLevel="0" collapsed="false">
      <c r="A638" s="5" t="s">
        <v>74</v>
      </c>
      <c r="B638" s="5" t="s">
        <v>79</v>
      </c>
      <c r="C638" s="5" t="s">
        <v>249</v>
      </c>
      <c r="D638" s="6" t="n">
        <v>0.00102750740354707</v>
      </c>
      <c r="E638" s="6" t="n">
        <v>0.000455610319471724</v>
      </c>
      <c r="F638" s="7" t="n">
        <v>0.0241187109052915</v>
      </c>
    </row>
    <row r="639" customFormat="false" ht="15" hidden="false" customHeight="true" outlineLevel="0" collapsed="false">
      <c r="A639" s="5" t="s">
        <v>74</v>
      </c>
      <c r="B639" s="5" t="s">
        <v>79</v>
      </c>
      <c r="C639" s="5" t="s">
        <v>250</v>
      </c>
      <c r="D639" s="6" t="n">
        <v>0.000988264688228748</v>
      </c>
      <c r="E639" s="6" t="n">
        <v>0.000456249376126654</v>
      </c>
      <c r="F639" s="7" t="n">
        <v>0.0303064072802157</v>
      </c>
    </row>
    <row r="640" customFormat="false" ht="15" hidden="false" customHeight="true" outlineLevel="0" collapsed="false">
      <c r="A640" s="5" t="s">
        <v>74</v>
      </c>
      <c r="B640" s="5" t="s">
        <v>79</v>
      </c>
      <c r="C640" s="5" t="s">
        <v>251</v>
      </c>
      <c r="D640" s="6" t="n">
        <v>0.00098771931472012</v>
      </c>
      <c r="E640" s="6" t="n">
        <v>0.000455988600703031</v>
      </c>
      <c r="F640" s="7" t="n">
        <v>0.0303031429768947</v>
      </c>
    </row>
    <row r="641" customFormat="false" ht="15" hidden="false" customHeight="true" outlineLevel="0" collapsed="false">
      <c r="A641" s="5" t="s">
        <v>74</v>
      </c>
      <c r="B641" s="5" t="s">
        <v>79</v>
      </c>
      <c r="C641" s="5" t="s">
        <v>252</v>
      </c>
      <c r="D641" s="6" t="n">
        <v>0.000961567514147975</v>
      </c>
      <c r="E641" s="6" t="n">
        <v>0.000454972618024068</v>
      </c>
      <c r="F641" s="7" t="n">
        <v>0.0345612112901932</v>
      </c>
    </row>
    <row r="642" customFormat="false" ht="15" hidden="false" customHeight="true" outlineLevel="0" collapsed="false">
      <c r="A642" s="5" t="s">
        <v>74</v>
      </c>
      <c r="B642" s="5" t="s">
        <v>79</v>
      </c>
      <c r="C642" s="5" t="s">
        <v>253</v>
      </c>
      <c r="D642" s="6" t="n">
        <v>0.000959624095039614</v>
      </c>
      <c r="E642" s="6" t="n">
        <v>0.00045537697786205</v>
      </c>
      <c r="F642" s="7" t="n">
        <v>0.0350900254854776</v>
      </c>
    </row>
    <row r="643" customFormat="false" ht="15" hidden="false" customHeight="true" outlineLevel="0" collapsed="false">
      <c r="A643" s="5" t="s">
        <v>74</v>
      </c>
      <c r="B643" s="5" t="s">
        <v>79</v>
      </c>
      <c r="C643" s="5" t="s">
        <v>254</v>
      </c>
      <c r="D643" s="6" t="n">
        <v>0.00104335252098613</v>
      </c>
      <c r="E643" s="6" t="n">
        <v>0.000456493755586383</v>
      </c>
      <c r="F643" s="7" t="n">
        <v>0.0222789024973976</v>
      </c>
    </row>
    <row r="644" customFormat="false" ht="15" hidden="false" customHeight="true" outlineLevel="0" collapsed="false">
      <c r="A644" s="5" t="s">
        <v>74</v>
      </c>
      <c r="B644" s="5" t="s">
        <v>79</v>
      </c>
      <c r="C644" s="5" t="s">
        <v>255</v>
      </c>
      <c r="D644" s="6" t="n">
        <v>0.000920115147412749</v>
      </c>
      <c r="E644" s="6" t="n">
        <v>0.000449773344072672</v>
      </c>
      <c r="F644" s="7" t="n">
        <v>0.0407828714630533</v>
      </c>
    </row>
    <row r="645" customFormat="false" ht="15" hidden="false" customHeight="true" outlineLevel="0" collapsed="false">
      <c r="A645" s="5" t="s">
        <v>74</v>
      </c>
      <c r="B645" s="5" t="s">
        <v>79</v>
      </c>
      <c r="C645" s="5" t="s">
        <v>256</v>
      </c>
      <c r="D645" s="6" t="n">
        <v>0.0010542615125661</v>
      </c>
      <c r="E645" s="6" t="n">
        <v>0.000450686668932998</v>
      </c>
      <c r="F645" s="7" t="n">
        <v>0.0193233340088648</v>
      </c>
    </row>
    <row r="646" customFormat="false" ht="15" hidden="false" customHeight="true" outlineLevel="0" collapsed="false">
      <c r="A646" s="5" t="s">
        <v>74</v>
      </c>
      <c r="B646" s="5" t="s">
        <v>79</v>
      </c>
      <c r="C646" s="5" t="s">
        <v>257</v>
      </c>
      <c r="D646" s="6" t="n">
        <v>0.00100964184456815</v>
      </c>
      <c r="E646" s="6" t="n">
        <v>0.000454468340362012</v>
      </c>
      <c r="F646" s="7" t="n">
        <v>0.0263110970994736</v>
      </c>
    </row>
    <row r="647" customFormat="false" ht="15" hidden="false" customHeight="true" outlineLevel="0" collapsed="false">
      <c r="A647" s="5" t="s">
        <v>74</v>
      </c>
      <c r="B647" s="5" t="s">
        <v>79</v>
      </c>
      <c r="C647" s="5" t="s">
        <v>258</v>
      </c>
      <c r="D647" s="6" t="n">
        <v>0.00096999883961479</v>
      </c>
      <c r="E647" s="6" t="n">
        <v>0.000455466858862212</v>
      </c>
      <c r="F647" s="7" t="n">
        <v>0.033198008688906</v>
      </c>
    </row>
    <row r="648" customFormat="false" ht="15" hidden="false" customHeight="true" outlineLevel="0" collapsed="false">
      <c r="A648" s="5" t="s">
        <v>74</v>
      </c>
      <c r="B648" s="5" t="s">
        <v>79</v>
      </c>
      <c r="C648" s="5" t="s">
        <v>259</v>
      </c>
      <c r="D648" s="6" t="n">
        <v>0.000863489432507233</v>
      </c>
      <c r="E648" s="6" t="n">
        <v>0.000456528166540566</v>
      </c>
      <c r="F648" s="7" t="n">
        <v>0.0585674454710286</v>
      </c>
    </row>
    <row r="649" customFormat="false" ht="15" hidden="false" customHeight="true" outlineLevel="0" collapsed="false">
      <c r="A649" s="5" t="s">
        <v>74</v>
      </c>
      <c r="B649" s="5" t="s">
        <v>79</v>
      </c>
      <c r="C649" s="5" t="s">
        <v>260</v>
      </c>
      <c r="D649" s="6" t="n">
        <v>0.000972688246454937</v>
      </c>
      <c r="E649" s="6" t="n">
        <v>0.000456678309481051</v>
      </c>
      <c r="F649" s="7" t="n">
        <v>0.0331782219953259</v>
      </c>
    </row>
    <row r="650" customFormat="false" ht="15" hidden="false" customHeight="true" outlineLevel="0" collapsed="false">
      <c r="A650" s="5" t="s">
        <v>74</v>
      </c>
      <c r="B650" s="5" t="s">
        <v>79</v>
      </c>
      <c r="C650" s="5" t="s">
        <v>261</v>
      </c>
      <c r="D650" s="6" t="n">
        <v>0.00100390525735528</v>
      </c>
      <c r="E650" s="6" t="n">
        <v>0.000454762012183665</v>
      </c>
      <c r="F650" s="7" t="n">
        <v>0.0272763671847588</v>
      </c>
    </row>
    <row r="651" customFormat="false" ht="15" hidden="false" customHeight="true" outlineLevel="0" collapsed="false">
      <c r="A651" s="5" t="s">
        <v>74</v>
      </c>
      <c r="B651" s="5" t="s">
        <v>79</v>
      </c>
      <c r="C651" s="5" t="s">
        <v>262</v>
      </c>
      <c r="D651" s="6" t="n">
        <v>0.00101966034076481</v>
      </c>
      <c r="E651" s="6" t="n">
        <v>0.000453911513727494</v>
      </c>
      <c r="F651" s="7" t="n">
        <v>0.0246793124605299</v>
      </c>
    </row>
    <row r="652" customFormat="false" ht="15" hidden="false" customHeight="true" outlineLevel="0" collapsed="false">
      <c r="A652" s="5" t="s">
        <v>74</v>
      </c>
      <c r="B652" s="5" t="s">
        <v>79</v>
      </c>
      <c r="C652" s="5" t="s">
        <v>263</v>
      </c>
      <c r="D652" s="6" t="n">
        <v>0.00097181866321032</v>
      </c>
      <c r="E652" s="6" t="n">
        <v>0.000455549696654014</v>
      </c>
      <c r="F652" s="7" t="n">
        <v>0.0329011148534551</v>
      </c>
    </row>
    <row r="653" customFormat="false" ht="15" hidden="false" customHeight="true" outlineLevel="0" collapsed="false">
      <c r="A653" s="5" t="s">
        <v>74</v>
      </c>
      <c r="B653" s="5" t="s">
        <v>79</v>
      </c>
      <c r="C653" s="5" t="s">
        <v>264</v>
      </c>
      <c r="D653" s="6" t="n">
        <v>0.0010038892201874</v>
      </c>
      <c r="E653" s="6" t="n">
        <v>0.000454949166544224</v>
      </c>
      <c r="F653" s="7" t="n">
        <v>0.0273422645351173</v>
      </c>
    </row>
    <row r="654" customFormat="false" ht="15" hidden="false" customHeight="true" outlineLevel="0" collapsed="false">
      <c r="A654" s="5" t="s">
        <v>74</v>
      </c>
      <c r="B654" s="5" t="s">
        <v>79</v>
      </c>
      <c r="C654" s="5" t="s">
        <v>265</v>
      </c>
      <c r="D654" s="6" t="n">
        <v>0.00101490334849912</v>
      </c>
      <c r="E654" s="6" t="n">
        <v>0.000454108923997438</v>
      </c>
      <c r="F654" s="7" t="n">
        <v>0.0254217001627264</v>
      </c>
    </row>
    <row r="655" customFormat="false" ht="15" hidden="false" customHeight="true" outlineLevel="0" collapsed="false">
      <c r="A655" s="5" t="s">
        <v>74</v>
      </c>
      <c r="B655" s="5" t="s">
        <v>79</v>
      </c>
      <c r="C655" s="5" t="s">
        <v>266</v>
      </c>
      <c r="D655" s="6" t="n">
        <v>0.000944297793849419</v>
      </c>
      <c r="E655" s="6" t="n">
        <v>0.000456256091937793</v>
      </c>
      <c r="F655" s="7" t="n">
        <v>0.0384836177812622</v>
      </c>
    </row>
    <row r="656" customFormat="false" ht="15" hidden="false" customHeight="true" outlineLevel="0" collapsed="false">
      <c r="A656" s="5" t="s">
        <v>74</v>
      </c>
      <c r="B656" s="5" t="s">
        <v>79</v>
      </c>
      <c r="C656" s="5" t="s">
        <v>267</v>
      </c>
      <c r="D656" s="6" t="n">
        <v>0.000971359877828245</v>
      </c>
      <c r="E656" s="6" t="n">
        <v>0.000457053331946566</v>
      </c>
      <c r="F656" s="7" t="n">
        <v>0.0335644288496197</v>
      </c>
    </row>
    <row r="657" customFormat="false" ht="15" hidden="false" customHeight="true" outlineLevel="0" collapsed="false">
      <c r="A657" s="5" t="s">
        <v>74</v>
      </c>
      <c r="B657" s="5" t="s">
        <v>79</v>
      </c>
      <c r="C657" s="5" t="s">
        <v>268</v>
      </c>
      <c r="D657" s="6" t="n">
        <v>0.00102061831135782</v>
      </c>
      <c r="E657" s="6" t="n">
        <v>0.000453045513381117</v>
      </c>
      <c r="F657" s="7" t="n">
        <v>0.024272127171363</v>
      </c>
    </row>
    <row r="658" customFormat="false" ht="15" hidden="false" customHeight="true" outlineLevel="0" collapsed="false">
      <c r="A658" s="5" t="s">
        <v>74</v>
      </c>
      <c r="B658" s="5" t="s">
        <v>79</v>
      </c>
      <c r="C658" s="5" t="s">
        <v>269</v>
      </c>
      <c r="D658" s="6" t="n">
        <v>0.000984883654259378</v>
      </c>
      <c r="E658" s="6" t="n">
        <v>0.000456214742247551</v>
      </c>
      <c r="F658" s="7" t="n">
        <v>0.0308644499160571</v>
      </c>
    </row>
    <row r="659" customFormat="false" ht="15" hidden="false" customHeight="true" outlineLevel="0" collapsed="false">
      <c r="A659" s="5" t="s">
        <v>74</v>
      </c>
      <c r="B659" s="5" t="s">
        <v>79</v>
      </c>
      <c r="C659" s="5" t="s">
        <v>270</v>
      </c>
      <c r="D659" s="6" t="n">
        <v>0.000916792436417336</v>
      </c>
      <c r="E659" s="6" t="n">
        <v>0.000445327481085467</v>
      </c>
      <c r="F659" s="7" t="n">
        <v>0.0395236855564114</v>
      </c>
    </row>
    <row r="660" customFormat="false" ht="15" hidden="false" customHeight="true" outlineLevel="0" collapsed="false">
      <c r="A660" s="5" t="s">
        <v>74</v>
      </c>
      <c r="B660" s="5" t="s">
        <v>79</v>
      </c>
      <c r="C660" s="5" t="s">
        <v>768</v>
      </c>
      <c r="D660" s="6" t="n">
        <v>0.000996074484440344</v>
      </c>
      <c r="E660" s="6" t="n">
        <v>0.000456609335741072</v>
      </c>
      <c r="F660" s="7" t="n">
        <v>0.0291494936170106</v>
      </c>
    </row>
    <row r="661" customFormat="false" ht="15" hidden="false" customHeight="true" outlineLevel="0" collapsed="false">
      <c r="A661" s="5" t="s">
        <v>74</v>
      </c>
      <c r="B661" s="5" t="s">
        <v>79</v>
      </c>
      <c r="C661" s="5" t="s">
        <v>271</v>
      </c>
      <c r="D661" s="6" t="n">
        <v>0.000980180885587221</v>
      </c>
      <c r="E661" s="6" t="n">
        <v>0.000456216574618864</v>
      </c>
      <c r="F661" s="7" t="n">
        <v>0.0316741303139632</v>
      </c>
    </row>
    <row r="662" customFormat="false" ht="15" hidden="false" customHeight="true" outlineLevel="0" collapsed="false">
      <c r="A662" s="5" t="s">
        <v>74</v>
      </c>
      <c r="B662" s="5" t="s">
        <v>79</v>
      </c>
      <c r="C662" s="5" t="s">
        <v>272</v>
      </c>
      <c r="D662" s="6" t="n">
        <v>0.000959280466568487</v>
      </c>
      <c r="E662" s="6" t="n">
        <v>0.00045485344156743</v>
      </c>
      <c r="F662" s="7" t="n">
        <v>0.034945614307149</v>
      </c>
    </row>
    <row r="663" customFormat="false" ht="15" hidden="false" customHeight="true" outlineLevel="0" collapsed="false">
      <c r="A663" s="5" t="s">
        <v>74</v>
      </c>
      <c r="B663" s="5" t="s">
        <v>79</v>
      </c>
      <c r="C663" s="5" t="s">
        <v>273</v>
      </c>
      <c r="D663" s="6" t="n">
        <v>0.00097806896574529</v>
      </c>
      <c r="E663" s="6" t="n">
        <v>0.000456202156014812</v>
      </c>
      <c r="F663" s="7" t="n">
        <v>0.0320378851563325</v>
      </c>
    </row>
    <row r="664" customFormat="false" ht="15" hidden="false" customHeight="true" outlineLevel="0" collapsed="false">
      <c r="A664" s="5" t="s">
        <v>74</v>
      </c>
      <c r="B664" s="5" t="s">
        <v>79</v>
      </c>
      <c r="C664" s="5" t="s">
        <v>274</v>
      </c>
      <c r="D664" s="6" t="n">
        <v>0.000966535925787854</v>
      </c>
      <c r="E664" s="6" t="n">
        <v>0.000461291522801742</v>
      </c>
      <c r="F664" s="7" t="n">
        <v>0.0361459120948672</v>
      </c>
    </row>
    <row r="665" customFormat="false" ht="15" hidden="false" customHeight="true" outlineLevel="0" collapsed="false">
      <c r="A665" s="5" t="s">
        <v>74</v>
      </c>
      <c r="B665" s="5" t="s">
        <v>79</v>
      </c>
      <c r="C665" s="5" t="s">
        <v>275</v>
      </c>
      <c r="D665" s="6" t="n">
        <v>0.000946972888658249</v>
      </c>
      <c r="E665" s="6" t="n">
        <v>0.000453483254628567</v>
      </c>
      <c r="F665" s="7" t="n">
        <v>0.0367779767671748</v>
      </c>
    </row>
    <row r="666" customFormat="false" ht="15" hidden="false" customHeight="true" outlineLevel="0" collapsed="false">
      <c r="A666" s="5" t="s">
        <v>74</v>
      </c>
      <c r="B666" s="5" t="s">
        <v>79</v>
      </c>
      <c r="C666" s="5" t="s">
        <v>276</v>
      </c>
      <c r="D666" s="6" t="n">
        <v>0.000973799161135105</v>
      </c>
      <c r="E666" s="6" t="n">
        <v>0.000456461703003655</v>
      </c>
      <c r="F666" s="7" t="n">
        <v>0.0328948425439099</v>
      </c>
    </row>
    <row r="667" customFormat="false" ht="15" hidden="false" customHeight="true" outlineLevel="0" collapsed="false">
      <c r="A667" s="5" t="s">
        <v>74</v>
      </c>
      <c r="B667" s="5" t="s">
        <v>79</v>
      </c>
      <c r="C667" s="5" t="s">
        <v>277</v>
      </c>
      <c r="D667" s="6" t="n">
        <v>0.00100955375456671</v>
      </c>
      <c r="E667" s="6" t="n">
        <v>0.000455112733534343</v>
      </c>
      <c r="F667" s="7" t="n">
        <v>0.0265378012503574</v>
      </c>
    </row>
    <row r="668" customFormat="false" ht="15" hidden="false" customHeight="true" outlineLevel="0" collapsed="false">
      <c r="A668" s="5" t="s">
        <v>74</v>
      </c>
      <c r="B668" s="5" t="s">
        <v>79</v>
      </c>
      <c r="C668" s="5" t="s">
        <v>278</v>
      </c>
      <c r="D668" s="6" t="n">
        <v>0.000982306739730528</v>
      </c>
      <c r="E668" s="6" t="n">
        <v>0.000457075556438756</v>
      </c>
      <c r="F668" s="7" t="n">
        <v>0.0316254921417773</v>
      </c>
    </row>
    <row r="669" customFormat="false" ht="15" hidden="false" customHeight="true" outlineLevel="0" collapsed="false">
      <c r="A669" s="5" t="s">
        <v>74</v>
      </c>
      <c r="B669" s="5" t="s">
        <v>79</v>
      </c>
      <c r="C669" s="5" t="s">
        <v>769</v>
      </c>
      <c r="D669" s="6" t="n">
        <v>0.000983186371028935</v>
      </c>
      <c r="E669" s="6" t="n">
        <v>0.00045582537211487</v>
      </c>
      <c r="F669" s="7" t="n">
        <v>0.0310106144910779</v>
      </c>
    </row>
    <row r="670" customFormat="false" ht="15" hidden="false" customHeight="true" outlineLevel="0" collapsed="false">
      <c r="A670" s="5" t="s">
        <v>74</v>
      </c>
      <c r="B670" s="5" t="s">
        <v>79</v>
      </c>
      <c r="C670" s="5" t="s">
        <v>279</v>
      </c>
      <c r="D670" s="6" t="n">
        <v>0.000966854375962915</v>
      </c>
      <c r="E670" s="6" t="n">
        <v>0.000456466491259974</v>
      </c>
      <c r="F670" s="7" t="n">
        <v>0.0341642436691199</v>
      </c>
    </row>
    <row r="671" customFormat="false" ht="15" hidden="false" customHeight="true" outlineLevel="0" collapsed="false">
      <c r="A671" s="5" t="s">
        <v>74</v>
      </c>
      <c r="B671" s="5" t="s">
        <v>79</v>
      </c>
      <c r="C671" s="5" t="s">
        <v>280</v>
      </c>
      <c r="D671" s="6" t="n">
        <v>0.00101392857653427</v>
      </c>
      <c r="E671" s="6" t="n">
        <v>0.000453499305658075</v>
      </c>
      <c r="F671" s="7" t="n">
        <v>0.0253656222105738</v>
      </c>
    </row>
    <row r="672" customFormat="false" ht="15" hidden="false" customHeight="true" outlineLevel="0" collapsed="false">
      <c r="A672" s="5" t="s">
        <v>74</v>
      </c>
      <c r="B672" s="5" t="s">
        <v>79</v>
      </c>
      <c r="C672" s="5" t="s">
        <v>281</v>
      </c>
      <c r="D672" s="6" t="n">
        <v>0.000991152645069295</v>
      </c>
      <c r="E672" s="6" t="n">
        <v>0.00045741064288278</v>
      </c>
      <c r="F672" s="7" t="n">
        <v>0.0302442268948876</v>
      </c>
    </row>
    <row r="673" customFormat="false" ht="15" hidden="false" customHeight="true" outlineLevel="0" collapsed="false">
      <c r="A673" s="5" t="s">
        <v>74</v>
      </c>
      <c r="B673" s="5" t="s">
        <v>79</v>
      </c>
      <c r="C673" s="5" t="s">
        <v>282</v>
      </c>
      <c r="D673" s="6" t="n">
        <v>0.0010021565254434</v>
      </c>
      <c r="E673" s="6" t="n">
        <v>0.000455397557145295</v>
      </c>
      <c r="F673" s="7" t="n">
        <v>0.0277630060301382</v>
      </c>
    </row>
    <row r="674" customFormat="false" ht="15" hidden="false" customHeight="true" outlineLevel="0" collapsed="false">
      <c r="A674" s="5" t="s">
        <v>74</v>
      </c>
      <c r="B674" s="5" t="s">
        <v>79</v>
      </c>
      <c r="C674" s="5" t="s">
        <v>770</v>
      </c>
      <c r="D674" s="6" t="n">
        <v>0.000936393295729764</v>
      </c>
      <c r="E674" s="6" t="n">
        <v>0.000452540453316069</v>
      </c>
      <c r="F674" s="7" t="n">
        <v>0.0385280295988959</v>
      </c>
    </row>
    <row r="675" customFormat="false" ht="15" hidden="false" customHeight="true" outlineLevel="0" collapsed="false">
      <c r="A675" s="5" t="s">
        <v>74</v>
      </c>
      <c r="B675" s="5" t="s">
        <v>79</v>
      </c>
      <c r="C675" s="5" t="s">
        <v>283</v>
      </c>
      <c r="D675" s="6" t="n">
        <v>0.000923426271698739</v>
      </c>
      <c r="E675" s="6" t="n">
        <v>0.000450769403025104</v>
      </c>
      <c r="F675" s="7" t="n">
        <v>0.0405055711786902</v>
      </c>
    </row>
    <row r="676" customFormat="false" ht="15" hidden="false" customHeight="true" outlineLevel="0" collapsed="false">
      <c r="A676" s="5" t="s">
        <v>74</v>
      </c>
      <c r="B676" s="5" t="s">
        <v>79</v>
      </c>
      <c r="C676" s="5" t="s">
        <v>284</v>
      </c>
      <c r="D676" s="6" t="n">
        <v>0.00097015118202768</v>
      </c>
      <c r="E676" s="6" t="n">
        <v>0.000455509923830711</v>
      </c>
      <c r="F676" s="7" t="n">
        <v>0.033187014258312</v>
      </c>
    </row>
    <row r="677" customFormat="false" ht="15" hidden="false" customHeight="true" outlineLevel="0" collapsed="false">
      <c r="A677" s="5" t="s">
        <v>74</v>
      </c>
      <c r="B677" s="5" t="s">
        <v>79</v>
      </c>
      <c r="C677" s="5" t="s">
        <v>285</v>
      </c>
      <c r="D677" s="6" t="n">
        <v>0.00101839078793537</v>
      </c>
      <c r="E677" s="6" t="n">
        <v>0.000454215980347658</v>
      </c>
      <c r="F677" s="7" t="n">
        <v>0.0249558861415854</v>
      </c>
    </row>
    <row r="678" customFormat="false" ht="15" hidden="false" customHeight="true" outlineLevel="0" collapsed="false">
      <c r="A678" s="5" t="s">
        <v>74</v>
      </c>
      <c r="B678" s="5" t="s">
        <v>79</v>
      </c>
      <c r="C678" s="5" t="s">
        <v>286</v>
      </c>
      <c r="D678" s="6" t="n">
        <v>0.00100781549913907</v>
      </c>
      <c r="E678" s="6" t="n">
        <v>0.000458150642176566</v>
      </c>
      <c r="F678" s="7" t="n">
        <v>0.0278248504053761</v>
      </c>
    </row>
    <row r="679" customFormat="false" ht="15" hidden="false" customHeight="true" outlineLevel="0" collapsed="false">
      <c r="A679" s="5" t="s">
        <v>74</v>
      </c>
      <c r="B679" s="5" t="s">
        <v>79</v>
      </c>
      <c r="C679" s="5" t="s">
        <v>287</v>
      </c>
      <c r="D679" s="6" t="n">
        <v>0.000940731278092015</v>
      </c>
      <c r="E679" s="6" t="n">
        <v>0.000452515031832129</v>
      </c>
      <c r="F679" s="7" t="n">
        <v>0.0376269940640805</v>
      </c>
    </row>
    <row r="680" customFormat="false" ht="15" hidden="false" customHeight="true" outlineLevel="0" collapsed="false">
      <c r="A680" s="5" t="s">
        <v>74</v>
      </c>
      <c r="B680" s="5" t="s">
        <v>79</v>
      </c>
      <c r="C680" s="5" t="s">
        <v>288</v>
      </c>
      <c r="D680" s="6" t="n">
        <v>0.000963346879970126</v>
      </c>
      <c r="E680" s="6" t="n">
        <v>0.000455407458630165</v>
      </c>
      <c r="F680" s="7" t="n">
        <v>0.0343999946959657</v>
      </c>
    </row>
    <row r="681" customFormat="false" ht="15" hidden="false" customHeight="true" outlineLevel="0" collapsed="false">
      <c r="A681" s="5" t="s">
        <v>74</v>
      </c>
      <c r="B681" s="5" t="s">
        <v>79</v>
      </c>
      <c r="C681" s="5" t="s">
        <v>771</v>
      </c>
      <c r="D681" s="6" t="n">
        <v>0.000989855307524623</v>
      </c>
      <c r="E681" s="6" t="n">
        <v>0.000456860614388802</v>
      </c>
      <c r="F681" s="7" t="n">
        <v>0.0302618428666203</v>
      </c>
    </row>
    <row r="682" customFormat="false" ht="15" hidden="false" customHeight="true" outlineLevel="0" collapsed="false">
      <c r="A682" s="5" t="s">
        <v>74</v>
      </c>
      <c r="B682" s="5" t="s">
        <v>79</v>
      </c>
      <c r="C682" s="5" t="s">
        <v>289</v>
      </c>
      <c r="D682" s="6" t="n">
        <v>0.00104006173393194</v>
      </c>
      <c r="E682" s="6" t="n">
        <v>0.000460463860912457</v>
      </c>
      <c r="F682" s="7" t="n">
        <v>0.0239004288154185</v>
      </c>
    </row>
    <row r="683" customFormat="false" ht="15" hidden="false" customHeight="true" outlineLevel="0" collapsed="false">
      <c r="A683" s="5" t="s">
        <v>74</v>
      </c>
      <c r="B683" s="5" t="s">
        <v>79</v>
      </c>
      <c r="C683" s="5" t="s">
        <v>290</v>
      </c>
      <c r="D683" s="6" t="n">
        <v>0.0010302553325686</v>
      </c>
      <c r="E683" s="6" t="n">
        <v>0.000450828611406874</v>
      </c>
      <c r="F683" s="7" t="n">
        <v>0.0222982706147225</v>
      </c>
    </row>
    <row r="684" customFormat="false" ht="15" hidden="false" customHeight="true" outlineLevel="0" collapsed="false">
      <c r="A684" s="5" t="s">
        <v>74</v>
      </c>
      <c r="B684" s="5" t="s">
        <v>79</v>
      </c>
      <c r="C684" s="5" t="s">
        <v>291</v>
      </c>
      <c r="D684" s="6" t="n">
        <v>0.00108553868559929</v>
      </c>
      <c r="E684" s="6" t="n">
        <v>0.000446371027952301</v>
      </c>
      <c r="F684" s="7" t="n">
        <v>0.0150190190439898</v>
      </c>
    </row>
    <row r="685" customFormat="false" ht="15" hidden="false" customHeight="true" outlineLevel="0" collapsed="false">
      <c r="A685" s="5" t="s">
        <v>74</v>
      </c>
      <c r="B685" s="5" t="s">
        <v>79</v>
      </c>
      <c r="C685" s="5" t="s">
        <v>292</v>
      </c>
      <c r="D685" s="6" t="n">
        <v>0.00105456754613362</v>
      </c>
      <c r="E685" s="6" t="n">
        <v>0.000442086766013832</v>
      </c>
      <c r="F685" s="7" t="n">
        <v>0.0170591148712419</v>
      </c>
    </row>
    <row r="686" customFormat="false" ht="15" hidden="false" customHeight="true" outlineLevel="0" collapsed="false">
      <c r="A686" s="5" t="s">
        <v>74</v>
      </c>
      <c r="B686" s="5" t="s">
        <v>79</v>
      </c>
      <c r="C686" s="5" t="s">
        <v>186</v>
      </c>
      <c r="D686" s="6" t="n">
        <v>0.000728857092270997</v>
      </c>
      <c r="E686" s="6" t="n">
        <v>0.000495062478825003</v>
      </c>
      <c r="F686" s="7" t="n">
        <v>0.140952639500182</v>
      </c>
    </row>
    <row r="687" customFormat="false" ht="15" hidden="false" customHeight="true" outlineLevel="0" collapsed="false">
      <c r="A687" s="5" t="s">
        <v>74</v>
      </c>
      <c r="B687" s="5" t="s">
        <v>79</v>
      </c>
      <c r="C687" s="5" t="s">
        <v>293</v>
      </c>
      <c r="D687" s="6" t="n">
        <v>0.000961569714511561</v>
      </c>
      <c r="E687" s="6" t="n">
        <v>0.000455271522256862</v>
      </c>
      <c r="F687" s="7" t="n">
        <v>0.0346796186768897</v>
      </c>
    </row>
    <row r="688" customFormat="false" ht="15" hidden="false" customHeight="true" outlineLevel="0" collapsed="false">
      <c r="A688" s="5" t="s">
        <v>74</v>
      </c>
      <c r="B688" s="5" t="s">
        <v>79</v>
      </c>
      <c r="C688" s="5" t="s">
        <v>294</v>
      </c>
      <c r="D688" s="6" t="n">
        <v>0.000987766216892383</v>
      </c>
      <c r="E688" s="6" t="n">
        <v>0.000455918274621155</v>
      </c>
      <c r="F688" s="7" t="n">
        <v>0.0302697728723356</v>
      </c>
    </row>
    <row r="689" customFormat="false" ht="15" hidden="false" customHeight="true" outlineLevel="0" collapsed="false">
      <c r="A689" s="5" t="s">
        <v>74</v>
      </c>
      <c r="B689" s="5" t="s">
        <v>79</v>
      </c>
      <c r="C689" s="5" t="s">
        <v>295</v>
      </c>
      <c r="D689" s="6" t="n">
        <v>0.000993214224628622</v>
      </c>
      <c r="E689" s="6" t="n">
        <v>0.000456345064502801</v>
      </c>
      <c r="F689" s="7" t="n">
        <v>0.0295212996771016</v>
      </c>
    </row>
    <row r="690" customFormat="false" ht="15" hidden="false" customHeight="true" outlineLevel="0" collapsed="false">
      <c r="A690" s="5" t="s">
        <v>74</v>
      </c>
      <c r="B690" s="5" t="s">
        <v>79</v>
      </c>
      <c r="C690" s="5" t="s">
        <v>296</v>
      </c>
      <c r="D690" s="6" t="n">
        <v>0.000953658627477864</v>
      </c>
      <c r="E690" s="6" t="n">
        <v>0.000455694910706656</v>
      </c>
      <c r="F690" s="7" t="n">
        <v>0.0363708691232034</v>
      </c>
    </row>
    <row r="691" customFormat="false" ht="15" hidden="false" customHeight="true" outlineLevel="0" collapsed="false">
      <c r="A691" s="5" t="s">
        <v>74</v>
      </c>
      <c r="B691" s="5" t="s">
        <v>79</v>
      </c>
      <c r="C691" s="5" t="s">
        <v>297</v>
      </c>
      <c r="D691" s="6" t="n">
        <v>0.000950242391298149</v>
      </c>
      <c r="E691" s="6" t="n">
        <v>0.000454777192673858</v>
      </c>
      <c r="F691" s="7" t="n">
        <v>0.0366656155815791</v>
      </c>
    </row>
    <row r="692" customFormat="false" ht="15" hidden="false" customHeight="true" outlineLevel="0" collapsed="false">
      <c r="A692" s="5" t="s">
        <v>74</v>
      </c>
      <c r="B692" s="5" t="s">
        <v>79</v>
      </c>
      <c r="C692" s="5" t="s">
        <v>298</v>
      </c>
      <c r="D692" s="6" t="n">
        <v>0.000997948338033957</v>
      </c>
      <c r="E692" s="6" t="n">
        <v>0.000455682227604653</v>
      </c>
      <c r="F692" s="7" t="n">
        <v>0.0285235588982907</v>
      </c>
    </row>
    <row r="693" customFormat="false" ht="15" hidden="false" customHeight="true" outlineLevel="0" collapsed="false">
      <c r="A693" s="5" t="s">
        <v>74</v>
      </c>
      <c r="B693" s="5" t="s">
        <v>79</v>
      </c>
      <c r="C693" s="5" t="s">
        <v>299</v>
      </c>
      <c r="D693" s="6" t="n">
        <v>0.00101540799916901</v>
      </c>
      <c r="E693" s="6" t="n">
        <v>0.000459512257668558</v>
      </c>
      <c r="F693" s="7" t="n">
        <v>0.0271223985082671</v>
      </c>
    </row>
    <row r="694" customFormat="false" ht="15" hidden="false" customHeight="true" outlineLevel="0" collapsed="false">
      <c r="A694" s="5" t="s">
        <v>74</v>
      </c>
      <c r="B694" s="5" t="s">
        <v>79</v>
      </c>
      <c r="C694" s="5" t="s">
        <v>300</v>
      </c>
      <c r="D694" s="6" t="n">
        <v>0.00100783510864748</v>
      </c>
      <c r="E694" s="6" t="n">
        <v>0.000455278885847562</v>
      </c>
      <c r="F694" s="7" t="n">
        <v>0.02685180602465</v>
      </c>
    </row>
    <row r="695" customFormat="false" ht="15" hidden="false" customHeight="true" outlineLevel="0" collapsed="false">
      <c r="A695" s="5" t="s">
        <v>74</v>
      </c>
      <c r="B695" s="5" t="s">
        <v>79</v>
      </c>
      <c r="C695" s="5" t="s">
        <v>301</v>
      </c>
      <c r="D695" s="6" t="n">
        <v>0.000978673161718189</v>
      </c>
      <c r="E695" s="6" t="n">
        <v>0.000456272943096531</v>
      </c>
      <c r="F695" s="7" t="n">
        <v>0.0319585076540441</v>
      </c>
    </row>
    <row r="696" customFormat="false" ht="15" hidden="false" customHeight="true" outlineLevel="0" collapsed="false">
      <c r="A696" s="5" t="s">
        <v>74</v>
      </c>
      <c r="B696" s="5" t="s">
        <v>79</v>
      </c>
      <c r="C696" s="5" t="s">
        <v>772</v>
      </c>
      <c r="D696" s="6" t="n">
        <v>0.000985664798772268</v>
      </c>
      <c r="E696" s="6" t="n">
        <v>0.000455956452764691</v>
      </c>
      <c r="F696" s="7" t="n">
        <v>0.0306372928764588</v>
      </c>
    </row>
    <row r="697" customFormat="false" ht="15" hidden="false" customHeight="true" outlineLevel="0" collapsed="false">
      <c r="A697" s="5" t="s">
        <v>74</v>
      </c>
      <c r="B697" s="5" t="s">
        <v>79</v>
      </c>
      <c r="C697" s="5" t="s">
        <v>773</v>
      </c>
      <c r="D697" s="6" t="n">
        <v>0.000943645446606788</v>
      </c>
      <c r="E697" s="6" t="n">
        <v>0.00045350360219092</v>
      </c>
      <c r="F697" s="7" t="n">
        <v>0.0374531952396494</v>
      </c>
    </row>
    <row r="698" customFormat="false" ht="15" hidden="false" customHeight="true" outlineLevel="0" collapsed="false">
      <c r="A698" s="5" t="s">
        <v>74</v>
      </c>
      <c r="B698" s="5" t="s">
        <v>79</v>
      </c>
      <c r="C698" s="5" t="s">
        <v>302</v>
      </c>
      <c r="D698" s="6" t="n">
        <v>0.000994438483064491</v>
      </c>
      <c r="E698" s="6" t="n">
        <v>0.000456490415127154</v>
      </c>
      <c r="F698" s="7" t="n">
        <v>0.0293730497236062</v>
      </c>
    </row>
    <row r="699" customFormat="false" ht="15" hidden="false" customHeight="true" outlineLevel="0" collapsed="false">
      <c r="A699" s="5" t="s">
        <v>74</v>
      </c>
      <c r="B699" s="5" t="s">
        <v>79</v>
      </c>
      <c r="C699" s="5" t="s">
        <v>303</v>
      </c>
      <c r="D699" s="6" t="n">
        <v>0.000975491777976251</v>
      </c>
      <c r="E699" s="6" t="n">
        <v>0.000460369950854504</v>
      </c>
      <c r="F699" s="7" t="n">
        <v>0.0340963688464341</v>
      </c>
    </row>
    <row r="700" customFormat="false" ht="15" hidden="false" customHeight="true" outlineLevel="0" collapsed="false">
      <c r="A700" s="5" t="s">
        <v>74</v>
      </c>
      <c r="B700" s="5" t="s">
        <v>79</v>
      </c>
      <c r="C700" s="5" t="s">
        <v>304</v>
      </c>
      <c r="D700" s="6" t="n">
        <v>0.000958827245492358</v>
      </c>
      <c r="E700" s="6" t="n">
        <v>0.000455208631144505</v>
      </c>
      <c r="F700" s="7" t="n">
        <v>0.0351742384732141</v>
      </c>
    </row>
    <row r="701" customFormat="false" ht="15" hidden="false" customHeight="true" outlineLevel="0" collapsed="false">
      <c r="A701" s="5" t="s">
        <v>74</v>
      </c>
      <c r="B701" s="5" t="s">
        <v>79</v>
      </c>
      <c r="C701" s="5" t="s">
        <v>305</v>
      </c>
      <c r="D701" s="6" t="n">
        <v>0.000990383407771189</v>
      </c>
      <c r="E701" s="6" t="n">
        <v>0.00045584127834581</v>
      </c>
      <c r="F701" s="7" t="n">
        <v>0.0298066937007202</v>
      </c>
    </row>
    <row r="702" customFormat="false" ht="15" hidden="false" customHeight="true" outlineLevel="0" collapsed="false">
      <c r="A702" s="5" t="s">
        <v>74</v>
      </c>
      <c r="B702" s="5" t="s">
        <v>79</v>
      </c>
      <c r="C702" s="5" t="s">
        <v>306</v>
      </c>
      <c r="D702" s="6" t="n">
        <v>0.000981166932401211</v>
      </c>
      <c r="E702" s="6" t="n">
        <v>0.000453066045394669</v>
      </c>
      <c r="F702" s="7" t="n">
        <v>0.0303405671099605</v>
      </c>
    </row>
    <row r="703" customFormat="false" ht="15" hidden="false" customHeight="true" outlineLevel="0" collapsed="false">
      <c r="A703" s="5" t="s">
        <v>88</v>
      </c>
      <c r="B703" s="5" t="s">
        <v>79</v>
      </c>
      <c r="C703" s="5" t="s">
        <v>307</v>
      </c>
      <c r="D703" s="6" t="n">
        <v>0.00128392573345465</v>
      </c>
      <c r="E703" s="6" t="n">
        <v>0.000880042254953997</v>
      </c>
      <c r="F703" s="7" t="n">
        <v>0.14458259647458</v>
      </c>
    </row>
    <row r="704" customFormat="false" ht="15" hidden="false" customHeight="true" outlineLevel="0" collapsed="false">
      <c r="A704" s="5" t="s">
        <v>88</v>
      </c>
      <c r="B704" s="5" t="s">
        <v>79</v>
      </c>
      <c r="C704" s="5" t="s">
        <v>308</v>
      </c>
      <c r="D704" s="6" t="n">
        <v>0.00136258374380981</v>
      </c>
      <c r="E704" s="6" t="n">
        <v>0.000877336165879373</v>
      </c>
      <c r="F704" s="7" t="n">
        <v>0.120401167063991</v>
      </c>
    </row>
    <row r="705" customFormat="false" ht="15" hidden="false" customHeight="true" outlineLevel="0" collapsed="false">
      <c r="A705" s="5" t="s">
        <v>88</v>
      </c>
      <c r="B705" s="5" t="s">
        <v>79</v>
      </c>
      <c r="C705" s="5" t="s">
        <v>309</v>
      </c>
      <c r="D705" s="6" t="n">
        <v>0.00133798215856954</v>
      </c>
      <c r="E705" s="6" t="n">
        <v>0.000877475827895447</v>
      </c>
      <c r="F705" s="7" t="n">
        <v>0.127306994968795</v>
      </c>
    </row>
    <row r="706" customFormat="false" ht="15" hidden="false" customHeight="true" outlineLevel="0" collapsed="false">
      <c r="A706" s="5" t="s">
        <v>88</v>
      </c>
      <c r="B706" s="5" t="s">
        <v>79</v>
      </c>
      <c r="C706" s="5" t="s">
        <v>310</v>
      </c>
      <c r="D706" s="6" t="n">
        <v>0.0012406860593508</v>
      </c>
      <c r="E706" s="6" t="n">
        <v>0.000879166105683466</v>
      </c>
      <c r="F706" s="7" t="n">
        <v>0.158183353099946</v>
      </c>
    </row>
    <row r="707" customFormat="false" ht="15" hidden="false" customHeight="true" outlineLevel="0" collapsed="false">
      <c r="A707" s="5" t="s">
        <v>88</v>
      </c>
      <c r="B707" s="5" t="s">
        <v>79</v>
      </c>
      <c r="C707" s="5" t="s">
        <v>311</v>
      </c>
      <c r="D707" s="6" t="n">
        <v>0.00130426022887658</v>
      </c>
      <c r="E707" s="6" t="n">
        <v>0.000881056776431911</v>
      </c>
      <c r="F707" s="7" t="n">
        <v>0.138783550578953</v>
      </c>
    </row>
    <row r="708" customFormat="false" ht="15" hidden="false" customHeight="true" outlineLevel="0" collapsed="false">
      <c r="A708" s="5" t="s">
        <v>88</v>
      </c>
      <c r="B708" s="5" t="s">
        <v>79</v>
      </c>
      <c r="C708" s="5" t="s">
        <v>312</v>
      </c>
      <c r="D708" s="6" t="n">
        <v>0.00127497983033535</v>
      </c>
      <c r="E708" s="6" t="n">
        <v>0.000879698583764662</v>
      </c>
      <c r="F708" s="7" t="n">
        <v>0.147243453677634</v>
      </c>
    </row>
    <row r="709" customFormat="false" ht="15" hidden="false" customHeight="true" outlineLevel="0" collapsed="false">
      <c r="A709" s="5" t="s">
        <v>88</v>
      </c>
      <c r="B709" s="5" t="s">
        <v>79</v>
      </c>
      <c r="C709" s="5" t="s">
        <v>313</v>
      </c>
      <c r="D709" s="6" t="n">
        <v>0.00126885273503962</v>
      </c>
      <c r="E709" s="6" t="n">
        <v>0.000879595502548483</v>
      </c>
      <c r="F709" s="7" t="n">
        <v>0.14914976291683</v>
      </c>
    </row>
    <row r="710" customFormat="false" ht="15" hidden="false" customHeight="true" outlineLevel="0" collapsed="false">
      <c r="A710" s="5" t="s">
        <v>88</v>
      </c>
      <c r="B710" s="5" t="s">
        <v>79</v>
      </c>
      <c r="C710" s="5" t="s">
        <v>314</v>
      </c>
      <c r="D710" s="6" t="n">
        <v>0.00129336932407789</v>
      </c>
      <c r="E710" s="6" t="n">
        <v>0.000883919940957236</v>
      </c>
      <c r="F710" s="7" t="n">
        <v>0.143407193571394</v>
      </c>
    </row>
    <row r="711" customFormat="false" ht="15" hidden="false" customHeight="true" outlineLevel="0" collapsed="false">
      <c r="A711" s="5" t="s">
        <v>88</v>
      </c>
      <c r="B711" s="5" t="s">
        <v>79</v>
      </c>
      <c r="C711" s="5" t="s">
        <v>774</v>
      </c>
      <c r="D711" s="6" t="n">
        <v>0.00128277503765057</v>
      </c>
      <c r="E711" s="6" t="n">
        <v>0.000879743321006927</v>
      </c>
      <c r="F711" s="7" t="n">
        <v>0.144806308494748</v>
      </c>
    </row>
    <row r="712" customFormat="false" ht="15" hidden="false" customHeight="true" outlineLevel="0" collapsed="false">
      <c r="A712" s="5" t="s">
        <v>88</v>
      </c>
      <c r="B712" s="5" t="s">
        <v>79</v>
      </c>
      <c r="C712" s="5" t="s">
        <v>315</v>
      </c>
      <c r="D712" s="6" t="n">
        <v>0.00130671953005635</v>
      </c>
      <c r="E712" s="6" t="n">
        <v>0.00087929429820714</v>
      </c>
      <c r="F712" s="7" t="n">
        <v>0.137252590052689</v>
      </c>
    </row>
    <row r="713" customFormat="false" ht="15" hidden="false" customHeight="true" outlineLevel="0" collapsed="false">
      <c r="A713" s="5" t="s">
        <v>88</v>
      </c>
      <c r="B713" s="5" t="s">
        <v>79</v>
      </c>
      <c r="C713" s="5" t="s">
        <v>316</v>
      </c>
      <c r="D713" s="6" t="n">
        <v>0.00125931716711225</v>
      </c>
      <c r="E713" s="6" t="n">
        <v>0.000879838201899715</v>
      </c>
      <c r="F713" s="7" t="n">
        <v>0.152342707755485</v>
      </c>
    </row>
    <row r="714" customFormat="false" ht="15" hidden="false" customHeight="true" outlineLevel="0" collapsed="false">
      <c r="A714" s="5" t="s">
        <v>88</v>
      </c>
      <c r="B714" s="5" t="s">
        <v>79</v>
      </c>
      <c r="C714" s="5" t="s">
        <v>317</v>
      </c>
      <c r="D714" s="6" t="n">
        <v>0.00118414761649333</v>
      </c>
      <c r="E714" s="6" t="n">
        <v>0.000871194693163606</v>
      </c>
      <c r="F714" s="7" t="n">
        <v>0.174076025306609</v>
      </c>
    </row>
    <row r="715" customFormat="false" ht="15" hidden="false" customHeight="true" outlineLevel="0" collapsed="false">
      <c r="A715" s="5" t="s">
        <v>88</v>
      </c>
      <c r="B715" s="5" t="s">
        <v>79</v>
      </c>
      <c r="C715" s="5" t="s">
        <v>318</v>
      </c>
      <c r="D715" s="6" t="n">
        <v>0.00127980954419751</v>
      </c>
      <c r="E715" s="6" t="n">
        <v>0.000879753776513319</v>
      </c>
      <c r="F715" s="7" t="n">
        <v>0.145742345036643</v>
      </c>
    </row>
    <row r="716" customFormat="false" ht="15" hidden="false" customHeight="true" outlineLevel="0" collapsed="false">
      <c r="A716" s="5" t="s">
        <v>88</v>
      </c>
      <c r="B716" s="5" t="s">
        <v>79</v>
      </c>
      <c r="C716" s="5" t="s">
        <v>319</v>
      </c>
      <c r="D716" s="6" t="n">
        <v>0.00132875691164788</v>
      </c>
      <c r="E716" s="6" t="n">
        <v>0.00087763226770797</v>
      </c>
      <c r="F716" s="7" t="n">
        <v>0.130019580555048</v>
      </c>
    </row>
    <row r="717" customFormat="false" ht="15" hidden="false" customHeight="true" outlineLevel="0" collapsed="false">
      <c r="A717" s="5" t="s">
        <v>88</v>
      </c>
      <c r="B717" s="5" t="s">
        <v>79</v>
      </c>
      <c r="C717" s="5" t="s">
        <v>320</v>
      </c>
      <c r="D717" s="6" t="n">
        <v>0.00129344109026139</v>
      </c>
      <c r="E717" s="6" t="n">
        <v>0.000880052725821662</v>
      </c>
      <c r="F717" s="7" t="n">
        <v>0.141634525560891</v>
      </c>
    </row>
    <row r="718" customFormat="false" ht="15" hidden="false" customHeight="true" outlineLevel="0" collapsed="false">
      <c r="A718" s="5" t="s">
        <v>88</v>
      </c>
      <c r="B718" s="5" t="s">
        <v>79</v>
      </c>
      <c r="C718" s="5" t="s">
        <v>321</v>
      </c>
      <c r="D718" s="6" t="n">
        <v>0.00130758195653985</v>
      </c>
      <c r="E718" s="6" t="n">
        <v>0.000879325127005118</v>
      </c>
      <c r="F718" s="7" t="n">
        <v>0.137007154143135</v>
      </c>
    </row>
    <row r="719" customFormat="false" ht="15" hidden="false" customHeight="true" outlineLevel="0" collapsed="false">
      <c r="A719" s="5" t="s">
        <v>88</v>
      </c>
      <c r="B719" s="5" t="s">
        <v>79</v>
      </c>
      <c r="C719" s="5" t="s">
        <v>322</v>
      </c>
      <c r="D719" s="6" t="n">
        <v>0.00130208891793674</v>
      </c>
      <c r="E719" s="6" t="n">
        <v>0.000880326317094443</v>
      </c>
      <c r="F719" s="7" t="n">
        <v>0.139114117693656</v>
      </c>
    </row>
    <row r="720" customFormat="false" ht="15" hidden="false" customHeight="true" outlineLevel="0" collapsed="false">
      <c r="A720" s="5" t="s">
        <v>88</v>
      </c>
      <c r="B720" s="5" t="s">
        <v>79</v>
      </c>
      <c r="C720" s="5" t="s">
        <v>323</v>
      </c>
      <c r="D720" s="6" t="n">
        <v>0.00128508705625496</v>
      </c>
      <c r="E720" s="6" t="n">
        <v>0.00088002188312496</v>
      </c>
      <c r="F720" s="7" t="n">
        <v>0.144210420257028</v>
      </c>
    </row>
    <row r="721" customFormat="false" ht="15" hidden="false" customHeight="true" outlineLevel="0" collapsed="false">
      <c r="A721" s="5" t="s">
        <v>88</v>
      </c>
      <c r="B721" s="5" t="s">
        <v>79</v>
      </c>
      <c r="C721" s="5" t="s">
        <v>324</v>
      </c>
      <c r="D721" s="6" t="n">
        <v>0.0012359836243846</v>
      </c>
      <c r="E721" s="6" t="n">
        <v>0.000877679360798392</v>
      </c>
      <c r="F721" s="7" t="n">
        <v>0.159059866688053</v>
      </c>
    </row>
    <row r="722" customFormat="false" ht="15" hidden="false" customHeight="true" outlineLevel="0" collapsed="false">
      <c r="A722" s="5" t="s">
        <v>88</v>
      </c>
      <c r="B722" s="5" t="s">
        <v>79</v>
      </c>
      <c r="C722" s="5" t="s">
        <v>325</v>
      </c>
      <c r="D722" s="6" t="n">
        <v>0.00127705000224497</v>
      </c>
      <c r="E722" s="6" t="n">
        <v>0.000879594054653833</v>
      </c>
      <c r="F722" s="7" t="n">
        <v>0.1465397214981</v>
      </c>
    </row>
    <row r="723" customFormat="false" ht="15" hidden="false" customHeight="true" outlineLevel="0" collapsed="false">
      <c r="A723" s="5" t="s">
        <v>88</v>
      </c>
      <c r="B723" s="5" t="s">
        <v>79</v>
      </c>
      <c r="C723" s="5" t="s">
        <v>326</v>
      </c>
      <c r="D723" s="6" t="n">
        <v>0.00123669752372169</v>
      </c>
      <c r="E723" s="6" t="n">
        <v>0.00087779059231339</v>
      </c>
      <c r="F723" s="7" t="n">
        <v>0.158872030996826</v>
      </c>
    </row>
    <row r="724" customFormat="false" ht="15" hidden="false" customHeight="true" outlineLevel="0" collapsed="false">
      <c r="A724" s="5" t="s">
        <v>88</v>
      </c>
      <c r="B724" s="5" t="s">
        <v>79</v>
      </c>
      <c r="C724" s="5" t="s">
        <v>327</v>
      </c>
      <c r="D724" s="6" t="n">
        <v>0.0012973924087776</v>
      </c>
      <c r="E724" s="6" t="n">
        <v>0.000879892986550878</v>
      </c>
      <c r="F724" s="7" t="n">
        <v>0.140350014274757</v>
      </c>
    </row>
    <row r="725" customFormat="false" ht="15" hidden="false" customHeight="true" outlineLevel="0" collapsed="false">
      <c r="A725" s="5" t="s">
        <v>88</v>
      </c>
      <c r="B725" s="5" t="s">
        <v>79</v>
      </c>
      <c r="C725" s="5" t="s">
        <v>328</v>
      </c>
      <c r="D725" s="6" t="n">
        <v>0.00130433493246634</v>
      </c>
      <c r="E725" s="6" t="n">
        <v>0.000879753970718132</v>
      </c>
      <c r="F725" s="7" t="n">
        <v>0.138177183033797</v>
      </c>
    </row>
    <row r="726" customFormat="false" ht="15" hidden="false" customHeight="true" outlineLevel="0" collapsed="false">
      <c r="A726" s="5" t="s">
        <v>88</v>
      </c>
      <c r="B726" s="5" t="s">
        <v>79</v>
      </c>
      <c r="C726" s="5" t="s">
        <v>329</v>
      </c>
      <c r="D726" s="6" t="n">
        <v>0.00128571025589869</v>
      </c>
      <c r="E726" s="6" t="n">
        <v>0.00087984436337453</v>
      </c>
      <c r="F726" s="7" t="n">
        <v>0.143935097892427</v>
      </c>
    </row>
    <row r="727" customFormat="false" ht="15" hidden="false" customHeight="true" outlineLevel="0" collapsed="false">
      <c r="A727" s="5" t="s">
        <v>88</v>
      </c>
      <c r="B727" s="5" t="s">
        <v>79</v>
      </c>
      <c r="C727" s="5" t="s">
        <v>330</v>
      </c>
      <c r="D727" s="6" t="n">
        <v>0.00131552879120092</v>
      </c>
      <c r="E727" s="6" t="n">
        <v>0.00087962813649224</v>
      </c>
      <c r="F727" s="7" t="n">
        <v>0.134770684853027</v>
      </c>
    </row>
    <row r="728" customFormat="false" ht="15" hidden="false" customHeight="true" outlineLevel="0" collapsed="false">
      <c r="A728" s="5" t="s">
        <v>88</v>
      </c>
      <c r="B728" s="5" t="s">
        <v>79</v>
      </c>
      <c r="C728" s="5" t="s">
        <v>331</v>
      </c>
      <c r="D728" s="6" t="n">
        <v>0.00127806273125984</v>
      </c>
      <c r="E728" s="6" t="n">
        <v>0.000879710866573235</v>
      </c>
      <c r="F728" s="7" t="n">
        <v>0.146273361739668</v>
      </c>
    </row>
    <row r="729" customFormat="false" ht="15" hidden="false" customHeight="true" outlineLevel="0" collapsed="false">
      <c r="A729" s="5" t="s">
        <v>88</v>
      </c>
      <c r="B729" s="5" t="s">
        <v>79</v>
      </c>
      <c r="C729" s="5" t="s">
        <v>332</v>
      </c>
      <c r="D729" s="6" t="n">
        <v>0.00124396563859063</v>
      </c>
      <c r="E729" s="6" t="n">
        <v>0.000879850221226393</v>
      </c>
      <c r="F729" s="7" t="n">
        <v>0.157409486242476</v>
      </c>
    </row>
    <row r="730" customFormat="false" ht="15" hidden="false" customHeight="true" outlineLevel="0" collapsed="false">
      <c r="A730" s="5" t="s">
        <v>88</v>
      </c>
      <c r="B730" s="5" t="s">
        <v>79</v>
      </c>
      <c r="C730" s="5" t="s">
        <v>333</v>
      </c>
      <c r="D730" s="6" t="n">
        <v>0.0012513958493162</v>
      </c>
      <c r="E730" s="6" t="n">
        <v>0.000878124578449762</v>
      </c>
      <c r="F730" s="7" t="n">
        <v>0.154134710815117</v>
      </c>
    </row>
    <row r="731" customFormat="false" ht="15" hidden="false" customHeight="true" outlineLevel="0" collapsed="false">
      <c r="A731" s="5" t="s">
        <v>88</v>
      </c>
      <c r="B731" s="5" t="s">
        <v>79</v>
      </c>
      <c r="C731" s="5" t="s">
        <v>334</v>
      </c>
      <c r="D731" s="6" t="n">
        <v>0.00130966501086255</v>
      </c>
      <c r="E731" s="6" t="n">
        <v>0.000879536027356917</v>
      </c>
      <c r="F731" s="7" t="n">
        <v>0.136476630916821</v>
      </c>
    </row>
    <row r="732" customFormat="false" ht="15" hidden="false" customHeight="true" outlineLevel="0" collapsed="false">
      <c r="A732" s="5" t="s">
        <v>88</v>
      </c>
      <c r="B732" s="5" t="s">
        <v>79</v>
      </c>
      <c r="C732" s="5" t="s">
        <v>335</v>
      </c>
      <c r="D732" s="6" t="n">
        <v>0.00129713318227875</v>
      </c>
      <c r="E732" s="6" t="n">
        <v>0.000879784652221354</v>
      </c>
      <c r="F732" s="7" t="n">
        <v>0.140380442050459</v>
      </c>
    </row>
    <row r="733" customFormat="false" ht="15" hidden="false" customHeight="true" outlineLevel="0" collapsed="false">
      <c r="A733" s="5" t="s">
        <v>88</v>
      </c>
      <c r="B733" s="5" t="s">
        <v>79</v>
      </c>
      <c r="C733" s="5" t="s">
        <v>336</v>
      </c>
      <c r="D733" s="6" t="n">
        <v>0.00129539348294586</v>
      </c>
      <c r="E733" s="6" t="n">
        <v>0.000879758475508791</v>
      </c>
      <c r="F733" s="7" t="n">
        <v>0.140901511338568</v>
      </c>
    </row>
    <row r="734" customFormat="false" ht="15" hidden="false" customHeight="true" outlineLevel="0" collapsed="false">
      <c r="A734" s="5" t="s">
        <v>88</v>
      </c>
      <c r="B734" s="5" t="s">
        <v>79</v>
      </c>
      <c r="C734" s="5" t="s">
        <v>337</v>
      </c>
      <c r="D734" s="6" t="n">
        <v>0.00124221602149379</v>
      </c>
      <c r="E734" s="6" t="n">
        <v>0.000878413566288782</v>
      </c>
      <c r="F734" s="7" t="n">
        <v>0.157315366468225</v>
      </c>
    </row>
    <row r="735" customFormat="false" ht="15" hidden="false" customHeight="true" outlineLevel="0" collapsed="false">
      <c r="A735" s="5" t="s">
        <v>88</v>
      </c>
      <c r="B735" s="5" t="s">
        <v>79</v>
      </c>
      <c r="C735" s="5" t="s">
        <v>338</v>
      </c>
      <c r="D735" s="6" t="n">
        <v>0.00123539274435645</v>
      </c>
      <c r="E735" s="6" t="n">
        <v>0.000876041863369218</v>
      </c>
      <c r="F735" s="7" t="n">
        <v>0.158481138367711</v>
      </c>
    </row>
    <row r="736" customFormat="false" ht="15" hidden="false" customHeight="true" outlineLevel="0" collapsed="false">
      <c r="A736" s="5" t="s">
        <v>88</v>
      </c>
      <c r="B736" s="5" t="s">
        <v>79</v>
      </c>
      <c r="C736" s="5" t="s">
        <v>339</v>
      </c>
      <c r="D736" s="6" t="n">
        <v>0.00126151837710928</v>
      </c>
      <c r="E736" s="6" t="n">
        <v>0.000879177274489918</v>
      </c>
      <c r="F736" s="7" t="n">
        <v>0.151319840443497</v>
      </c>
    </row>
    <row r="737" customFormat="false" ht="15" hidden="false" customHeight="true" outlineLevel="0" collapsed="false">
      <c r="A737" s="5" t="s">
        <v>88</v>
      </c>
      <c r="B737" s="5" t="s">
        <v>79</v>
      </c>
      <c r="C737" s="5" t="s">
        <v>340</v>
      </c>
      <c r="D737" s="6" t="n">
        <v>0.00127265603849329</v>
      </c>
      <c r="E737" s="6" t="n">
        <v>0.000879537296670482</v>
      </c>
      <c r="F737" s="7" t="n">
        <v>0.147907887533449</v>
      </c>
    </row>
    <row r="738" customFormat="false" ht="15" hidden="false" customHeight="true" outlineLevel="0" collapsed="false">
      <c r="A738" s="5" t="s">
        <v>88</v>
      </c>
      <c r="B738" s="5" t="s">
        <v>79</v>
      </c>
      <c r="C738" s="5" t="s">
        <v>341</v>
      </c>
      <c r="D738" s="6" t="n">
        <v>0.00128949786432755</v>
      </c>
      <c r="E738" s="6" t="n">
        <v>0.000880367377099037</v>
      </c>
      <c r="F738" s="7" t="n">
        <v>0.142995416305805</v>
      </c>
    </row>
    <row r="739" customFormat="false" ht="15" hidden="false" customHeight="true" outlineLevel="0" collapsed="false">
      <c r="A739" s="5" t="s">
        <v>88</v>
      </c>
      <c r="B739" s="5" t="s">
        <v>79</v>
      </c>
      <c r="C739" s="5" t="s">
        <v>342</v>
      </c>
      <c r="D739" s="6" t="n">
        <v>0.00128499597455401</v>
      </c>
      <c r="E739" s="6" t="n">
        <v>0.000879730005789215</v>
      </c>
      <c r="F739" s="7" t="n">
        <v>0.144105792677153</v>
      </c>
    </row>
    <row r="740" customFormat="false" ht="15" hidden="false" customHeight="true" outlineLevel="0" collapsed="false">
      <c r="A740" s="5" t="s">
        <v>88</v>
      </c>
      <c r="B740" s="5" t="s">
        <v>79</v>
      </c>
      <c r="C740" s="5" t="s">
        <v>343</v>
      </c>
      <c r="D740" s="6" t="n">
        <v>0.00131067107813618</v>
      </c>
      <c r="E740" s="6" t="n">
        <v>0.000880083740327795</v>
      </c>
      <c r="F740" s="7" t="n">
        <v>0.136419644189602</v>
      </c>
    </row>
    <row r="741" customFormat="false" ht="15" hidden="false" customHeight="true" outlineLevel="0" collapsed="false">
      <c r="A741" s="5" t="s">
        <v>88</v>
      </c>
      <c r="B741" s="5" t="s">
        <v>79</v>
      </c>
      <c r="C741" s="5" t="s">
        <v>344</v>
      </c>
      <c r="D741" s="6" t="n">
        <v>0.00126487371693781</v>
      </c>
      <c r="E741" s="6" t="n">
        <v>0.000879858923887838</v>
      </c>
      <c r="F741" s="7" t="n">
        <v>0.150551282573733</v>
      </c>
    </row>
    <row r="742" customFormat="false" ht="15" hidden="false" customHeight="true" outlineLevel="0" collapsed="false">
      <c r="A742" s="5" t="s">
        <v>88</v>
      </c>
      <c r="B742" s="5" t="s">
        <v>79</v>
      </c>
      <c r="C742" s="5" t="s">
        <v>345</v>
      </c>
      <c r="D742" s="6" t="n">
        <v>0.00131836418610944</v>
      </c>
      <c r="E742" s="6" t="n">
        <v>0.000879026468926089</v>
      </c>
      <c r="F742" s="7" t="n">
        <v>0.133666132448832</v>
      </c>
    </row>
    <row r="743" customFormat="false" ht="15" hidden="false" customHeight="true" outlineLevel="0" collapsed="false">
      <c r="A743" s="5" t="s">
        <v>88</v>
      </c>
      <c r="B743" s="5" t="s">
        <v>79</v>
      </c>
      <c r="C743" s="5" t="s">
        <v>346</v>
      </c>
      <c r="D743" s="6" t="n">
        <v>0.00130394994826865</v>
      </c>
      <c r="E743" s="6" t="n">
        <v>0.000879584644808978</v>
      </c>
      <c r="F743" s="7" t="n">
        <v>0.138217668499163</v>
      </c>
    </row>
    <row r="744" customFormat="false" ht="15" hidden="false" customHeight="true" outlineLevel="0" collapsed="false">
      <c r="A744" s="5" t="s">
        <v>88</v>
      </c>
      <c r="B744" s="5" t="s">
        <v>79</v>
      </c>
      <c r="C744" s="5" t="s">
        <v>775</v>
      </c>
      <c r="D744" s="6" t="n">
        <v>0.00131825885058287</v>
      </c>
      <c r="E744" s="6" t="n">
        <v>0.000878771523292421</v>
      </c>
      <c r="F744" s="7" t="n">
        <v>0.133584466661411</v>
      </c>
    </row>
    <row r="745" customFormat="false" ht="15" hidden="false" customHeight="true" outlineLevel="0" collapsed="false">
      <c r="A745" s="5" t="s">
        <v>88</v>
      </c>
      <c r="B745" s="5" t="s">
        <v>79</v>
      </c>
      <c r="C745" s="5" t="s">
        <v>347</v>
      </c>
      <c r="D745" s="6" t="n">
        <v>0.00126810484931412</v>
      </c>
      <c r="E745" s="6" t="n">
        <v>0.000883626461682699</v>
      </c>
      <c r="F745" s="7" t="n">
        <v>0.151254568498193</v>
      </c>
    </row>
    <row r="746" customFormat="false" ht="15" hidden="false" customHeight="true" outlineLevel="0" collapsed="false">
      <c r="A746" s="5" t="s">
        <v>88</v>
      </c>
      <c r="B746" s="5" t="s">
        <v>79</v>
      </c>
      <c r="C746" s="5" t="s">
        <v>348</v>
      </c>
      <c r="D746" s="6" t="n">
        <v>0.00122002267214259</v>
      </c>
      <c r="E746" s="6" t="n">
        <v>0.000875669249670712</v>
      </c>
      <c r="F746" s="7" t="n">
        <v>0.163545416375059</v>
      </c>
    </row>
    <row r="747" customFormat="false" ht="15" hidden="false" customHeight="true" outlineLevel="0" collapsed="false">
      <c r="A747" s="5" t="s">
        <v>88</v>
      </c>
      <c r="B747" s="5" t="s">
        <v>79</v>
      </c>
      <c r="C747" s="5" t="s">
        <v>349</v>
      </c>
      <c r="D747" s="6" t="n">
        <v>0.00130447507901891</v>
      </c>
      <c r="E747" s="6" t="n">
        <v>0.000879467503988025</v>
      </c>
      <c r="F747" s="7" t="n">
        <v>0.138006520438181</v>
      </c>
    </row>
    <row r="748" customFormat="false" ht="15" hidden="false" customHeight="true" outlineLevel="0" collapsed="false">
      <c r="A748" s="5" t="s">
        <v>88</v>
      </c>
      <c r="B748" s="5" t="s">
        <v>79</v>
      </c>
      <c r="C748" s="5" t="s">
        <v>350</v>
      </c>
      <c r="D748" s="6" t="n">
        <v>0.00126969835977567</v>
      </c>
      <c r="E748" s="6" t="n">
        <v>0.000879658238616562</v>
      </c>
      <c r="F748" s="7" t="n">
        <v>0.148907933520248</v>
      </c>
    </row>
    <row r="749" customFormat="false" ht="15" hidden="false" customHeight="true" outlineLevel="0" collapsed="false">
      <c r="A749" s="5" t="s">
        <v>88</v>
      </c>
      <c r="B749" s="5" t="s">
        <v>79</v>
      </c>
      <c r="C749" s="5" t="s">
        <v>351</v>
      </c>
      <c r="D749" s="6" t="n">
        <v>0.0012604806634645</v>
      </c>
      <c r="E749" s="6" t="n">
        <v>0.000879678168952383</v>
      </c>
      <c r="F749" s="7" t="n">
        <v>0.151889726513844</v>
      </c>
    </row>
    <row r="750" customFormat="false" ht="15" hidden="false" customHeight="true" outlineLevel="0" collapsed="false">
      <c r="A750" s="5" t="s">
        <v>88</v>
      </c>
      <c r="B750" s="5" t="s">
        <v>79</v>
      </c>
      <c r="C750" s="5" t="s">
        <v>352</v>
      </c>
      <c r="D750" s="6" t="n">
        <v>0.00123749699328796</v>
      </c>
      <c r="E750" s="6" t="n">
        <v>0.00087700441396853</v>
      </c>
      <c r="F750" s="7" t="n">
        <v>0.158229900090061</v>
      </c>
    </row>
    <row r="751" customFormat="false" ht="15" hidden="false" customHeight="true" outlineLevel="0" collapsed="false">
      <c r="A751" s="5" t="s">
        <v>88</v>
      </c>
      <c r="B751" s="5" t="s">
        <v>79</v>
      </c>
      <c r="C751" s="5" t="s">
        <v>353</v>
      </c>
      <c r="D751" s="6" t="n">
        <v>0.00128515404596616</v>
      </c>
      <c r="E751" s="6" t="n">
        <v>0.000879929065537855</v>
      </c>
      <c r="F751" s="7" t="n">
        <v>0.14414720025281</v>
      </c>
    </row>
    <row r="752" customFormat="false" ht="15" hidden="false" customHeight="true" outlineLevel="0" collapsed="false">
      <c r="A752" s="5" t="s">
        <v>88</v>
      </c>
      <c r="B752" s="5" t="s">
        <v>79</v>
      </c>
      <c r="C752" s="5" t="s">
        <v>354</v>
      </c>
      <c r="D752" s="6" t="n">
        <v>0.00134836025144393</v>
      </c>
      <c r="E752" s="6" t="n">
        <v>0.0008759842300033</v>
      </c>
      <c r="F752" s="7" t="n">
        <v>0.123742850371829</v>
      </c>
    </row>
    <row r="753" customFormat="false" ht="15" hidden="false" customHeight="true" outlineLevel="0" collapsed="false">
      <c r="A753" s="5" t="s">
        <v>88</v>
      </c>
      <c r="B753" s="5" t="s">
        <v>79</v>
      </c>
      <c r="C753" s="5" t="s">
        <v>355</v>
      </c>
      <c r="D753" s="6" t="n">
        <v>0.00126263190565815</v>
      </c>
      <c r="E753" s="6" t="n">
        <v>0.000880257763186575</v>
      </c>
      <c r="F753" s="7" t="n">
        <v>0.151461332588159</v>
      </c>
    </row>
    <row r="754" customFormat="false" ht="15" hidden="false" customHeight="true" outlineLevel="0" collapsed="false">
      <c r="A754" s="5" t="s">
        <v>88</v>
      </c>
      <c r="B754" s="5" t="s">
        <v>79</v>
      </c>
      <c r="C754" s="5" t="s">
        <v>356</v>
      </c>
      <c r="D754" s="6" t="n">
        <v>0.00127575044126852</v>
      </c>
      <c r="E754" s="6" t="n">
        <v>0.000880269804039898</v>
      </c>
      <c r="F754" s="7" t="n">
        <v>0.147261617685755</v>
      </c>
    </row>
    <row r="755" customFormat="false" ht="15" hidden="false" customHeight="true" outlineLevel="0" collapsed="false">
      <c r="A755" s="5" t="s">
        <v>88</v>
      </c>
      <c r="B755" s="5" t="s">
        <v>79</v>
      </c>
      <c r="C755" s="5" t="s">
        <v>357</v>
      </c>
      <c r="D755" s="6" t="n">
        <v>0.00129751338336431</v>
      </c>
      <c r="E755" s="6" t="n">
        <v>0.000879869727057703</v>
      </c>
      <c r="F755" s="7" t="n">
        <v>0.140302540867921</v>
      </c>
    </row>
    <row r="756" customFormat="false" ht="15" hidden="false" customHeight="true" outlineLevel="0" collapsed="false">
      <c r="A756" s="5" t="s">
        <v>88</v>
      </c>
      <c r="B756" s="5" t="s">
        <v>79</v>
      </c>
      <c r="C756" s="5" t="s">
        <v>358</v>
      </c>
      <c r="D756" s="6" t="n">
        <v>0.00133265461230778</v>
      </c>
      <c r="E756" s="6" t="n">
        <v>0.000877521939737064</v>
      </c>
      <c r="F756" s="7" t="n">
        <v>0.128848919823682</v>
      </c>
    </row>
    <row r="757" customFormat="false" ht="15" hidden="false" customHeight="true" outlineLevel="0" collapsed="false">
      <c r="A757" s="5" t="s">
        <v>88</v>
      </c>
      <c r="B757" s="5" t="s">
        <v>79</v>
      </c>
      <c r="C757" s="5" t="s">
        <v>359</v>
      </c>
      <c r="D757" s="6" t="n">
        <v>0.00126861865175674</v>
      </c>
      <c r="E757" s="6" t="n">
        <v>0.000879889652110623</v>
      </c>
      <c r="F757" s="7" t="n">
        <v>0.149360806894447</v>
      </c>
    </row>
    <row r="758" customFormat="false" ht="15" hidden="false" customHeight="true" outlineLevel="0" collapsed="false">
      <c r="A758" s="5" t="s">
        <v>88</v>
      </c>
      <c r="B758" s="5" t="s">
        <v>79</v>
      </c>
      <c r="C758" s="5" t="s">
        <v>360</v>
      </c>
      <c r="D758" s="6" t="n">
        <v>0.00127832080985114</v>
      </c>
      <c r="E758" s="6" t="n">
        <v>0.000880038980119914</v>
      </c>
      <c r="F758" s="7" t="n">
        <v>0.146342363406992</v>
      </c>
    </row>
    <row r="759" customFormat="false" ht="15" hidden="false" customHeight="true" outlineLevel="0" collapsed="false">
      <c r="A759" s="5" t="s">
        <v>88</v>
      </c>
      <c r="B759" s="5" t="s">
        <v>79</v>
      </c>
      <c r="C759" s="5" t="s">
        <v>361</v>
      </c>
      <c r="D759" s="6" t="n">
        <v>0.00129312420557519</v>
      </c>
      <c r="E759" s="6" t="n">
        <v>0.00088101055784438</v>
      </c>
      <c r="F759" s="7" t="n">
        <v>0.142165679195131</v>
      </c>
    </row>
    <row r="760" customFormat="false" ht="15" hidden="false" customHeight="true" outlineLevel="0" collapsed="false">
      <c r="A760" s="5" t="s">
        <v>88</v>
      </c>
      <c r="B760" s="5" t="s">
        <v>79</v>
      </c>
      <c r="C760" s="5" t="s">
        <v>362</v>
      </c>
      <c r="D760" s="6" t="n">
        <v>0.00123440880875396</v>
      </c>
      <c r="E760" s="6" t="n">
        <v>0.000878491092189818</v>
      </c>
      <c r="F760" s="7" t="n">
        <v>0.15997767677282</v>
      </c>
    </row>
    <row r="761" customFormat="false" ht="15" hidden="false" customHeight="true" outlineLevel="0" collapsed="false">
      <c r="A761" s="5" t="s">
        <v>88</v>
      </c>
      <c r="B761" s="5" t="s">
        <v>79</v>
      </c>
      <c r="C761" s="5" t="s">
        <v>776</v>
      </c>
      <c r="D761" s="6" t="n">
        <v>0.00126598659922838</v>
      </c>
      <c r="E761" s="6" t="n">
        <v>0.000879435867365491</v>
      </c>
      <c r="F761" s="7" t="n">
        <v>0.149996461617775</v>
      </c>
    </row>
    <row r="762" customFormat="false" ht="15" hidden="false" customHeight="true" outlineLevel="0" collapsed="false">
      <c r="A762" s="5" t="s">
        <v>88</v>
      </c>
      <c r="B762" s="5" t="s">
        <v>79</v>
      </c>
      <c r="C762" s="5" t="s">
        <v>363</v>
      </c>
      <c r="D762" s="6" t="n">
        <v>0.00129841357013069</v>
      </c>
      <c r="E762" s="6" t="n">
        <v>0.000880346153149287</v>
      </c>
      <c r="F762" s="7" t="n">
        <v>0.140242170475828</v>
      </c>
    </row>
    <row r="763" customFormat="false" ht="15" hidden="false" customHeight="true" outlineLevel="0" collapsed="false">
      <c r="A763" s="5" t="s">
        <v>88</v>
      </c>
      <c r="B763" s="5" t="s">
        <v>79</v>
      </c>
      <c r="C763" s="5" t="s">
        <v>364</v>
      </c>
      <c r="D763" s="6" t="n">
        <v>0.00126848682031623</v>
      </c>
      <c r="E763" s="6" t="n">
        <v>0.00087940243618153</v>
      </c>
      <c r="F763" s="7" t="n">
        <v>0.149177783053859</v>
      </c>
    </row>
    <row r="764" customFormat="false" ht="15" hidden="false" customHeight="true" outlineLevel="0" collapsed="false">
      <c r="A764" s="5" t="s">
        <v>88</v>
      </c>
      <c r="B764" s="5" t="s">
        <v>79</v>
      </c>
      <c r="C764" s="5" t="s">
        <v>365</v>
      </c>
      <c r="D764" s="6" t="n">
        <v>0.00130651393865226</v>
      </c>
      <c r="E764" s="6" t="n">
        <v>0.00087957336926931</v>
      </c>
      <c r="F764" s="7" t="n">
        <v>0.137439203197876</v>
      </c>
    </row>
    <row r="765" customFormat="false" ht="15" hidden="false" customHeight="true" outlineLevel="0" collapsed="false">
      <c r="A765" s="5" t="s">
        <v>88</v>
      </c>
      <c r="B765" s="5" t="s">
        <v>79</v>
      </c>
      <c r="C765" s="5" t="s">
        <v>366</v>
      </c>
      <c r="D765" s="6" t="n">
        <v>0.00127713874896315</v>
      </c>
      <c r="E765" s="6" t="n">
        <v>0.000879848439843018</v>
      </c>
      <c r="F765" s="7" t="n">
        <v>0.146628431443099</v>
      </c>
    </row>
    <row r="766" customFormat="false" ht="15" hidden="false" customHeight="true" outlineLevel="0" collapsed="false">
      <c r="A766" s="5" t="s">
        <v>88</v>
      </c>
      <c r="B766" s="5" t="s">
        <v>79</v>
      </c>
      <c r="C766" s="5" t="s">
        <v>367</v>
      </c>
      <c r="D766" s="6" t="n">
        <v>0.00122472148037799</v>
      </c>
      <c r="E766" s="6" t="n">
        <v>0.000878262581743685</v>
      </c>
      <c r="F766" s="7" t="n">
        <v>0.163172060500439</v>
      </c>
    </row>
    <row r="767" customFormat="false" ht="15" hidden="false" customHeight="true" outlineLevel="0" collapsed="false">
      <c r="A767" s="5" t="s">
        <v>88</v>
      </c>
      <c r="B767" s="5" t="s">
        <v>79</v>
      </c>
      <c r="C767" s="5" t="s">
        <v>368</v>
      </c>
      <c r="D767" s="6" t="n">
        <v>0.00124831810590545</v>
      </c>
      <c r="E767" s="6" t="n">
        <v>0.00087778938412559</v>
      </c>
      <c r="F767" s="7" t="n">
        <v>0.154992652053265</v>
      </c>
    </row>
    <row r="768" customFormat="false" ht="15" hidden="false" customHeight="true" outlineLevel="0" collapsed="false">
      <c r="A768" s="5" t="s">
        <v>88</v>
      </c>
      <c r="B768" s="5" t="s">
        <v>79</v>
      </c>
      <c r="C768" s="5" t="s">
        <v>369</v>
      </c>
      <c r="D768" s="6" t="n">
        <v>0.00132147172456044</v>
      </c>
      <c r="E768" s="6" t="n">
        <v>0.000881586044731777</v>
      </c>
      <c r="F768" s="7" t="n">
        <v>0.133881211576157</v>
      </c>
    </row>
    <row r="769" customFormat="false" ht="15" hidden="false" customHeight="true" outlineLevel="0" collapsed="false">
      <c r="A769" s="5" t="s">
        <v>88</v>
      </c>
      <c r="B769" s="5" t="s">
        <v>79</v>
      </c>
      <c r="C769" s="5" t="s">
        <v>370</v>
      </c>
      <c r="D769" s="6" t="n">
        <v>0.00127521316920903</v>
      </c>
      <c r="E769" s="6" t="n">
        <v>0.000879829798700094</v>
      </c>
      <c r="F769" s="7" t="n">
        <v>0.147229760165717</v>
      </c>
    </row>
    <row r="770" customFormat="false" ht="15" hidden="false" customHeight="true" outlineLevel="0" collapsed="false">
      <c r="A770" s="5" t="s">
        <v>88</v>
      </c>
      <c r="B770" s="5" t="s">
        <v>79</v>
      </c>
      <c r="C770" s="5" t="s">
        <v>371</v>
      </c>
      <c r="D770" s="6" t="n">
        <v>0.00125147277494482</v>
      </c>
      <c r="E770" s="6" t="n">
        <v>0.000878640735937077</v>
      </c>
      <c r="F770" s="7" t="n">
        <v>0.154351488870689</v>
      </c>
    </row>
    <row r="771" customFormat="false" ht="15" hidden="false" customHeight="true" outlineLevel="0" collapsed="false">
      <c r="A771" s="5" t="s">
        <v>88</v>
      </c>
      <c r="B771" s="5" t="s">
        <v>79</v>
      </c>
      <c r="C771" s="5" t="s">
        <v>372</v>
      </c>
      <c r="D771" s="6" t="n">
        <v>0.00131569410796559</v>
      </c>
      <c r="E771" s="6" t="n">
        <v>0.000878995206038092</v>
      </c>
      <c r="F771" s="7" t="n">
        <v>0.134441136056911</v>
      </c>
    </row>
    <row r="772" customFormat="false" ht="15" hidden="false" customHeight="true" outlineLevel="0" collapsed="false">
      <c r="A772" s="5" t="s">
        <v>88</v>
      </c>
      <c r="B772" s="5" t="s">
        <v>79</v>
      </c>
      <c r="C772" s="5" t="s">
        <v>373</v>
      </c>
      <c r="D772" s="6" t="n">
        <v>0.00135037171414519</v>
      </c>
      <c r="E772" s="6" t="n">
        <v>0.000878920231939336</v>
      </c>
      <c r="F772" s="7" t="n">
        <v>0.124440677730364</v>
      </c>
    </row>
    <row r="773" customFormat="false" ht="15" hidden="false" customHeight="true" outlineLevel="0" collapsed="false">
      <c r="A773" s="5" t="s">
        <v>88</v>
      </c>
      <c r="B773" s="5" t="s">
        <v>79</v>
      </c>
      <c r="C773" s="5" t="s">
        <v>374</v>
      </c>
      <c r="D773" s="6" t="n">
        <v>0.00126155490340034</v>
      </c>
      <c r="E773" s="6" t="n">
        <v>0.000879234525556307</v>
      </c>
      <c r="F773" s="7" t="n">
        <v>0.151334629698768</v>
      </c>
    </row>
    <row r="774" customFormat="false" ht="15" hidden="false" customHeight="true" outlineLevel="0" collapsed="false">
      <c r="A774" s="5" t="s">
        <v>88</v>
      </c>
      <c r="B774" s="5" t="s">
        <v>79</v>
      </c>
      <c r="C774" s="5" t="s">
        <v>375</v>
      </c>
      <c r="D774" s="6" t="n">
        <v>0.00133764526601245</v>
      </c>
      <c r="E774" s="6" t="n">
        <v>0.00087780720709643</v>
      </c>
      <c r="F774" s="7" t="n">
        <v>0.127546540862127</v>
      </c>
    </row>
    <row r="775" customFormat="false" ht="15" hidden="false" customHeight="true" outlineLevel="0" collapsed="false">
      <c r="A775" s="5" t="s">
        <v>88</v>
      </c>
      <c r="B775" s="5" t="s">
        <v>79</v>
      </c>
      <c r="C775" s="5" t="s">
        <v>376</v>
      </c>
      <c r="D775" s="6" t="n">
        <v>0.00132068739338939</v>
      </c>
      <c r="E775" s="6" t="n">
        <v>0.000880539556801447</v>
      </c>
      <c r="F775" s="7" t="n">
        <v>0.133650278838176</v>
      </c>
    </row>
    <row r="776" customFormat="false" ht="15" hidden="false" customHeight="true" outlineLevel="0" collapsed="false">
      <c r="A776" s="5" t="s">
        <v>88</v>
      </c>
      <c r="B776" s="5" t="s">
        <v>79</v>
      </c>
      <c r="C776" s="5" t="s">
        <v>377</v>
      </c>
      <c r="D776" s="6" t="n">
        <v>0.0012725352709707</v>
      </c>
      <c r="E776" s="6" t="n">
        <v>0.000879976827800993</v>
      </c>
      <c r="F776" s="7" t="n">
        <v>0.148148907074772</v>
      </c>
    </row>
    <row r="777" customFormat="false" ht="15" hidden="false" customHeight="true" outlineLevel="0" collapsed="false">
      <c r="A777" s="5" t="s">
        <v>88</v>
      </c>
      <c r="B777" s="5" t="s">
        <v>79</v>
      </c>
      <c r="C777" s="5" t="s">
        <v>378</v>
      </c>
      <c r="D777" s="6" t="n">
        <v>0.00126604119480581</v>
      </c>
      <c r="E777" s="6" t="n">
        <v>0.000879113982128116</v>
      </c>
      <c r="F777" s="7" t="n">
        <v>0.149829729795064</v>
      </c>
    </row>
    <row r="778" customFormat="false" ht="15" hidden="false" customHeight="true" outlineLevel="0" collapsed="false">
      <c r="A778" s="5" t="s">
        <v>88</v>
      </c>
      <c r="B778" s="5" t="s">
        <v>79</v>
      </c>
      <c r="C778" s="5" t="s">
        <v>379</v>
      </c>
      <c r="D778" s="6" t="n">
        <v>0.00122580948241836</v>
      </c>
      <c r="E778" s="6" t="n">
        <v>0.00087703524341312</v>
      </c>
      <c r="F778" s="7" t="n">
        <v>0.162210942303613</v>
      </c>
    </row>
    <row r="779" customFormat="false" ht="15" hidden="false" customHeight="true" outlineLevel="0" collapsed="false">
      <c r="A779" s="5" t="s">
        <v>88</v>
      </c>
      <c r="B779" s="5" t="s">
        <v>79</v>
      </c>
      <c r="C779" s="5" t="s">
        <v>380</v>
      </c>
      <c r="D779" s="6" t="n">
        <v>0.00129457007370285</v>
      </c>
      <c r="E779" s="6" t="n">
        <v>0.000879940935488418</v>
      </c>
      <c r="F779" s="7" t="n">
        <v>0.14123673934987</v>
      </c>
    </row>
    <row r="780" customFormat="false" ht="15" hidden="false" customHeight="true" outlineLevel="0" collapsed="false">
      <c r="A780" s="5" t="s">
        <v>88</v>
      </c>
      <c r="B780" s="5" t="s">
        <v>79</v>
      </c>
      <c r="C780" s="5" t="s">
        <v>381</v>
      </c>
      <c r="D780" s="6" t="n">
        <v>0.00124997542819467</v>
      </c>
      <c r="E780" s="6" t="n">
        <v>0.000879317577334168</v>
      </c>
      <c r="F780" s="7" t="n">
        <v>0.155163031708825</v>
      </c>
    </row>
    <row r="781" customFormat="false" ht="15" hidden="false" customHeight="true" outlineLevel="0" collapsed="false">
      <c r="A781" s="5" t="s">
        <v>88</v>
      </c>
      <c r="B781" s="5" t="s">
        <v>79</v>
      </c>
      <c r="C781" s="5" t="s">
        <v>382</v>
      </c>
      <c r="D781" s="6" t="n">
        <v>0.00125019983619274</v>
      </c>
      <c r="E781" s="6" t="n">
        <v>0.000878836537997113</v>
      </c>
      <c r="F781" s="7" t="n">
        <v>0.154863043252609</v>
      </c>
    </row>
    <row r="782" customFormat="false" ht="15" hidden="false" customHeight="true" outlineLevel="0" collapsed="false">
      <c r="A782" s="5" t="s">
        <v>88</v>
      </c>
      <c r="B782" s="5" t="s">
        <v>79</v>
      </c>
      <c r="C782" s="5" t="s">
        <v>383</v>
      </c>
      <c r="D782" s="6" t="n">
        <v>0.00120430272626516</v>
      </c>
      <c r="E782" s="6" t="n">
        <v>0.000876060500858881</v>
      </c>
      <c r="F782" s="7" t="n">
        <v>0.169230717946452</v>
      </c>
    </row>
    <row r="783" customFormat="false" ht="15" hidden="false" customHeight="true" outlineLevel="0" collapsed="false">
      <c r="A783" s="5" t="s">
        <v>88</v>
      </c>
      <c r="B783" s="5" t="s">
        <v>79</v>
      </c>
      <c r="C783" s="5" t="s">
        <v>384</v>
      </c>
      <c r="D783" s="6" t="n">
        <v>0.00124617880302453</v>
      </c>
      <c r="E783" s="6" t="n">
        <v>0.000880357283889024</v>
      </c>
      <c r="F783" s="7" t="n">
        <v>0.156910943450719</v>
      </c>
    </row>
    <row r="784" customFormat="false" ht="15" hidden="false" customHeight="true" outlineLevel="0" collapsed="false">
      <c r="A784" s="5" t="s">
        <v>88</v>
      </c>
      <c r="B784" s="5" t="s">
        <v>79</v>
      </c>
      <c r="C784" s="5" t="s">
        <v>385</v>
      </c>
      <c r="D784" s="6" t="n">
        <v>0.00125564187162539</v>
      </c>
      <c r="E784" s="6" t="n">
        <v>0.000879010203287982</v>
      </c>
      <c r="F784" s="7" t="n">
        <v>0.15315591460554</v>
      </c>
    </row>
    <row r="785" customFormat="false" ht="15" hidden="false" customHeight="true" outlineLevel="0" collapsed="false">
      <c r="A785" s="5" t="s">
        <v>88</v>
      </c>
      <c r="B785" s="5" t="s">
        <v>79</v>
      </c>
      <c r="C785" s="5" t="s">
        <v>386</v>
      </c>
      <c r="D785" s="6" t="n">
        <v>0.00137622230827843</v>
      </c>
      <c r="E785" s="6" t="n">
        <v>0.000876735454549925</v>
      </c>
      <c r="F785" s="7" t="n">
        <v>0.116482089855684</v>
      </c>
    </row>
    <row r="786" customFormat="false" ht="15" hidden="false" customHeight="true" outlineLevel="0" collapsed="false">
      <c r="A786" s="5" t="s">
        <v>88</v>
      </c>
      <c r="B786" s="5" t="s">
        <v>79</v>
      </c>
      <c r="C786" s="5" t="s">
        <v>387</v>
      </c>
      <c r="D786" s="6" t="n">
        <v>0.00130444987090204</v>
      </c>
      <c r="E786" s="6" t="n">
        <v>0.000879410617799402</v>
      </c>
      <c r="F786" s="7" t="n">
        <v>0.137988652102137</v>
      </c>
    </row>
    <row r="787" customFormat="false" ht="15" hidden="false" customHeight="true" outlineLevel="0" collapsed="false">
      <c r="A787" s="5" t="s">
        <v>88</v>
      </c>
      <c r="B787" s="5" t="s">
        <v>79</v>
      </c>
      <c r="C787" s="5" t="s">
        <v>388</v>
      </c>
      <c r="D787" s="6" t="n">
        <v>0.00128121122106717</v>
      </c>
      <c r="E787" s="6" t="n">
        <v>0.000879858033059409</v>
      </c>
      <c r="F787" s="7" t="n">
        <v>0.145349290235209</v>
      </c>
    </row>
    <row r="788" customFormat="false" ht="15" hidden="false" customHeight="true" outlineLevel="0" collapsed="false">
      <c r="A788" s="5" t="s">
        <v>88</v>
      </c>
      <c r="B788" s="5" t="s">
        <v>79</v>
      </c>
      <c r="C788" s="5" t="s">
        <v>389</v>
      </c>
      <c r="D788" s="6" t="n">
        <v>0.00131088307056346</v>
      </c>
      <c r="E788" s="6" t="n">
        <v>0.000879748835441068</v>
      </c>
      <c r="F788" s="7" t="n">
        <v>0.136207109381202</v>
      </c>
    </row>
    <row r="789" customFormat="false" ht="15" hidden="false" customHeight="true" outlineLevel="0" collapsed="false">
      <c r="A789" s="5" t="s">
        <v>88</v>
      </c>
      <c r="B789" s="5" t="s">
        <v>79</v>
      </c>
      <c r="C789" s="5" t="s">
        <v>390</v>
      </c>
      <c r="D789" s="6" t="n">
        <v>0.0013673311767715</v>
      </c>
      <c r="E789" s="6" t="n">
        <v>0.000879436523353733</v>
      </c>
      <c r="F789" s="7" t="n">
        <v>0.119998241241617</v>
      </c>
    </row>
    <row r="790" customFormat="false" ht="15" hidden="false" customHeight="true" outlineLevel="0" collapsed="false">
      <c r="A790" s="5" t="s">
        <v>88</v>
      </c>
      <c r="B790" s="5" t="s">
        <v>79</v>
      </c>
      <c r="C790" s="5" t="s">
        <v>391</v>
      </c>
      <c r="D790" s="6" t="n">
        <v>0.00130510379704044</v>
      </c>
      <c r="E790" s="6" t="n">
        <v>0.000879602531924317</v>
      </c>
      <c r="F790" s="7" t="n">
        <v>0.137877205232103</v>
      </c>
    </row>
    <row r="791" customFormat="false" ht="15" hidden="false" customHeight="true" outlineLevel="0" collapsed="false">
      <c r="A791" s="5" t="s">
        <v>88</v>
      </c>
      <c r="B791" s="5" t="s">
        <v>79</v>
      </c>
      <c r="C791" s="5" t="s">
        <v>392</v>
      </c>
      <c r="D791" s="6" t="n">
        <v>0.0012843643982124</v>
      </c>
      <c r="E791" s="6" t="n">
        <v>0.000879751011520932</v>
      </c>
      <c r="F791" s="7" t="n">
        <v>0.144312592542559</v>
      </c>
    </row>
    <row r="792" customFormat="false" ht="15" hidden="false" customHeight="true" outlineLevel="0" collapsed="false">
      <c r="A792" s="5" t="s">
        <v>88</v>
      </c>
      <c r="B792" s="5" t="s">
        <v>79</v>
      </c>
      <c r="C792" s="5" t="s">
        <v>393</v>
      </c>
      <c r="D792" s="6" t="n">
        <v>0.00132512034752737</v>
      </c>
      <c r="E792" s="6" t="n">
        <v>0.000880877868720278</v>
      </c>
      <c r="F792" s="7" t="n">
        <v>0.132499531721667</v>
      </c>
    </row>
    <row r="793" customFormat="false" ht="15" hidden="false" customHeight="true" outlineLevel="0" collapsed="false">
      <c r="A793" s="5" t="s">
        <v>88</v>
      </c>
      <c r="B793" s="5" t="s">
        <v>79</v>
      </c>
      <c r="C793" s="5" t="s">
        <v>394</v>
      </c>
      <c r="D793" s="6" t="n">
        <v>0.00129871237297574</v>
      </c>
      <c r="E793" s="6" t="n">
        <v>0.000879708777999885</v>
      </c>
      <c r="F793" s="7" t="n">
        <v>0.139863891475332</v>
      </c>
    </row>
    <row r="794" customFormat="false" ht="15" hidden="false" customHeight="true" outlineLevel="0" collapsed="false">
      <c r="A794" s="5" t="s">
        <v>88</v>
      </c>
      <c r="B794" s="5" t="s">
        <v>79</v>
      </c>
      <c r="C794" s="5" t="s">
        <v>395</v>
      </c>
      <c r="D794" s="6" t="n">
        <v>0.00128493626705813</v>
      </c>
      <c r="E794" s="6" t="n">
        <v>0.000879812541513685</v>
      </c>
      <c r="F794" s="7" t="n">
        <v>0.144162056578698</v>
      </c>
    </row>
    <row r="795" customFormat="false" ht="15" hidden="false" customHeight="true" outlineLevel="0" collapsed="false">
      <c r="A795" s="5" t="s">
        <v>88</v>
      </c>
      <c r="B795" s="5" t="s">
        <v>79</v>
      </c>
      <c r="C795" s="5" t="s">
        <v>396</v>
      </c>
      <c r="D795" s="6" t="n">
        <v>0.00127272347016233</v>
      </c>
      <c r="E795" s="6" t="n">
        <v>0.000880196706278815</v>
      </c>
      <c r="F795" s="7" t="n">
        <v>0.148190256719949</v>
      </c>
    </row>
    <row r="796" customFormat="false" ht="15" hidden="false" customHeight="true" outlineLevel="0" collapsed="false">
      <c r="A796" s="5" t="s">
        <v>88</v>
      </c>
      <c r="B796" s="5" t="s">
        <v>79</v>
      </c>
      <c r="C796" s="5" t="s">
        <v>397</v>
      </c>
      <c r="D796" s="6" t="n">
        <v>0.00128256715644375</v>
      </c>
      <c r="E796" s="6" t="n">
        <v>0.000879881223498164</v>
      </c>
      <c r="F796" s="7" t="n">
        <v>0.144934441714028</v>
      </c>
    </row>
    <row r="797" customFormat="false" ht="15" hidden="false" customHeight="true" outlineLevel="0" collapsed="false">
      <c r="A797" s="5" t="s">
        <v>88</v>
      </c>
      <c r="B797" s="5" t="s">
        <v>79</v>
      </c>
      <c r="C797" s="5" t="s">
        <v>398</v>
      </c>
      <c r="D797" s="6" t="n">
        <v>0.00128872131120088</v>
      </c>
      <c r="E797" s="6" t="n">
        <v>0.000879995949754881</v>
      </c>
      <c r="F797" s="7" t="n">
        <v>0.143067546712584</v>
      </c>
    </row>
    <row r="798" customFormat="false" ht="15" hidden="false" customHeight="true" outlineLevel="0" collapsed="false">
      <c r="A798" s="5" t="s">
        <v>88</v>
      </c>
      <c r="B798" s="5" t="s">
        <v>79</v>
      </c>
      <c r="C798" s="5" t="s">
        <v>399</v>
      </c>
      <c r="D798" s="6" t="n">
        <v>0.00127482127909245</v>
      </c>
      <c r="E798" s="6" t="n">
        <v>0.000880162297938004</v>
      </c>
      <c r="F798" s="7" t="n">
        <v>0.147507054545614</v>
      </c>
    </row>
    <row r="799" customFormat="false" ht="15" hidden="false" customHeight="true" outlineLevel="0" collapsed="false">
      <c r="A799" s="5" t="s">
        <v>88</v>
      </c>
      <c r="B799" s="5" t="s">
        <v>79</v>
      </c>
      <c r="C799" s="5" t="s">
        <v>400</v>
      </c>
      <c r="D799" s="6" t="n">
        <v>0.0013448646884453</v>
      </c>
      <c r="E799" s="6" t="n">
        <v>0.000878197154167277</v>
      </c>
      <c r="F799" s="7" t="n">
        <v>0.12567237354247</v>
      </c>
    </row>
    <row r="800" customFormat="false" ht="15" hidden="false" customHeight="true" outlineLevel="0" collapsed="false">
      <c r="A800" s="5" t="s">
        <v>88</v>
      </c>
      <c r="B800" s="5" t="s">
        <v>79</v>
      </c>
      <c r="C800" s="5" t="s">
        <v>401</v>
      </c>
      <c r="D800" s="6" t="n">
        <v>0.00132394114900699</v>
      </c>
      <c r="E800" s="6" t="n">
        <v>0.000879396807351408</v>
      </c>
      <c r="F800" s="7" t="n">
        <v>0.132192873006162</v>
      </c>
    </row>
    <row r="801" customFormat="false" ht="15" hidden="false" customHeight="true" outlineLevel="0" collapsed="false">
      <c r="A801" s="5" t="s">
        <v>88</v>
      </c>
      <c r="B801" s="5" t="s">
        <v>79</v>
      </c>
      <c r="C801" s="5" t="s">
        <v>402</v>
      </c>
      <c r="D801" s="6" t="n">
        <v>0.00136543394067337</v>
      </c>
      <c r="E801" s="6" t="n">
        <v>0.000872959570017094</v>
      </c>
      <c r="F801" s="7" t="n">
        <v>0.117783898236496</v>
      </c>
    </row>
    <row r="802" customFormat="false" ht="15" hidden="false" customHeight="true" outlineLevel="0" collapsed="false">
      <c r="A802" s="5" t="s">
        <v>88</v>
      </c>
      <c r="B802" s="5" t="s">
        <v>79</v>
      </c>
      <c r="C802" s="5" t="s">
        <v>403</v>
      </c>
      <c r="D802" s="6" t="n">
        <v>0.00128792308728582</v>
      </c>
      <c r="E802" s="6" t="n">
        <v>0.000879895991987011</v>
      </c>
      <c r="F802" s="7" t="n">
        <v>0.143269932426966</v>
      </c>
    </row>
    <row r="803" customFormat="false" ht="15" hidden="false" customHeight="true" outlineLevel="0" collapsed="false">
      <c r="A803" s="5" t="s">
        <v>88</v>
      </c>
      <c r="B803" s="5" t="s">
        <v>79</v>
      </c>
      <c r="C803" s="5" t="s">
        <v>201</v>
      </c>
      <c r="D803" s="6" t="n">
        <v>0.00118989088334964</v>
      </c>
      <c r="E803" s="6" t="n">
        <v>0.000882680694483202</v>
      </c>
      <c r="F803" s="7" t="n">
        <v>0.177644788913215</v>
      </c>
    </row>
    <row r="804" customFormat="false" ht="15" hidden="false" customHeight="true" outlineLevel="0" collapsed="false">
      <c r="A804" s="5" t="s">
        <v>88</v>
      </c>
      <c r="B804" s="5" t="s">
        <v>79</v>
      </c>
      <c r="C804" s="5" t="s">
        <v>404</v>
      </c>
      <c r="D804" s="6" t="n">
        <v>0.00129741069576247</v>
      </c>
      <c r="E804" s="6" t="n">
        <v>0.000879711836038844</v>
      </c>
      <c r="F804" s="7" t="n">
        <v>0.140262750693341</v>
      </c>
    </row>
    <row r="805" customFormat="false" ht="15" hidden="false" customHeight="true" outlineLevel="0" collapsed="false">
      <c r="A805" s="5" t="s">
        <v>88</v>
      </c>
      <c r="B805" s="5" t="s">
        <v>79</v>
      </c>
      <c r="C805" s="5" t="s">
        <v>405</v>
      </c>
      <c r="D805" s="6" t="n">
        <v>0.00126783819726526</v>
      </c>
      <c r="E805" s="6" t="n">
        <v>0.000879681272100582</v>
      </c>
      <c r="F805" s="7" t="n">
        <v>0.149514849439225</v>
      </c>
    </row>
    <row r="806" customFormat="false" ht="15" hidden="false" customHeight="true" outlineLevel="0" collapsed="false">
      <c r="A806" s="5" t="s">
        <v>88</v>
      </c>
      <c r="B806" s="5" t="s">
        <v>79</v>
      </c>
      <c r="C806" s="5" t="s">
        <v>406</v>
      </c>
      <c r="D806" s="6" t="n">
        <v>0.00127491961483519</v>
      </c>
      <c r="E806" s="6" t="n">
        <v>0.000879615609358777</v>
      </c>
      <c r="F806" s="7" t="n">
        <v>0.14722440131414</v>
      </c>
    </row>
    <row r="807" customFormat="false" ht="15" hidden="false" customHeight="true" outlineLevel="0" collapsed="false">
      <c r="A807" s="5" t="s">
        <v>88</v>
      </c>
      <c r="B807" s="5" t="s">
        <v>79</v>
      </c>
      <c r="C807" s="5" t="s">
        <v>407</v>
      </c>
      <c r="D807" s="6" t="n">
        <v>0.00127159351832821</v>
      </c>
      <c r="E807" s="6" t="n">
        <v>0.000879660061137413</v>
      </c>
      <c r="F807" s="7" t="n">
        <v>0.148303166765778</v>
      </c>
    </row>
    <row r="808" customFormat="false" ht="15" hidden="false" customHeight="true" outlineLevel="0" collapsed="false">
      <c r="A808" s="5" t="s">
        <v>88</v>
      </c>
      <c r="B808" s="5" t="s">
        <v>79</v>
      </c>
      <c r="C808" s="5" t="s">
        <v>408</v>
      </c>
      <c r="D808" s="6" t="n">
        <v>0.00127211040888459</v>
      </c>
      <c r="E808" s="6" t="n">
        <v>0.000879865053397913</v>
      </c>
      <c r="F808" s="7" t="n">
        <v>0.148232823138858</v>
      </c>
    </row>
    <row r="809" customFormat="false" ht="15" hidden="false" customHeight="true" outlineLevel="0" collapsed="false">
      <c r="A809" s="5" t="s">
        <v>88</v>
      </c>
      <c r="B809" s="5" t="s">
        <v>79</v>
      </c>
      <c r="C809" s="5" t="s">
        <v>409</v>
      </c>
      <c r="D809" s="6" t="n">
        <v>0.00132045308238974</v>
      </c>
      <c r="E809" s="6" t="n">
        <v>0.000878330839436838</v>
      </c>
      <c r="F809" s="7" t="n">
        <v>0.132744583054092</v>
      </c>
    </row>
    <row r="810" customFormat="false" ht="15" hidden="false" customHeight="true" outlineLevel="0" collapsed="false">
      <c r="A810" s="5" t="s">
        <v>88</v>
      </c>
      <c r="B810" s="5" t="s">
        <v>79</v>
      </c>
      <c r="C810" s="5" t="s">
        <v>410</v>
      </c>
      <c r="D810" s="6" t="n">
        <v>0.00123527114401189</v>
      </c>
      <c r="E810" s="6" t="n">
        <v>0.000876210421096625</v>
      </c>
      <c r="F810" s="7" t="n">
        <v>0.158602221252694</v>
      </c>
    </row>
    <row r="811" customFormat="false" ht="15" hidden="false" customHeight="true" outlineLevel="0" collapsed="false">
      <c r="A811" s="5" t="s">
        <v>88</v>
      </c>
      <c r="B811" s="5" t="s">
        <v>79</v>
      </c>
      <c r="C811" s="5" t="s">
        <v>411</v>
      </c>
      <c r="D811" s="6" t="n">
        <v>0.00131199092878555</v>
      </c>
      <c r="E811" s="6" t="n">
        <v>0.000879653302674615</v>
      </c>
      <c r="F811" s="7" t="n">
        <v>0.135833841846468</v>
      </c>
    </row>
    <row r="812" customFormat="false" ht="15" hidden="false" customHeight="true" outlineLevel="0" collapsed="false">
      <c r="A812" s="5" t="s">
        <v>88</v>
      </c>
      <c r="B812" s="5" t="s">
        <v>79</v>
      </c>
      <c r="C812" s="5" t="s">
        <v>777</v>
      </c>
      <c r="D812" s="6" t="n">
        <v>0.00127771114343859</v>
      </c>
      <c r="E812" s="6" t="n">
        <v>0.000879834254417519</v>
      </c>
      <c r="F812" s="7" t="n">
        <v>0.146440998587067</v>
      </c>
    </row>
    <row r="813" customFormat="false" ht="15" hidden="false" customHeight="true" outlineLevel="0" collapsed="false">
      <c r="A813" s="5" t="s">
        <v>88</v>
      </c>
      <c r="B813" s="5" t="s">
        <v>79</v>
      </c>
      <c r="C813" s="5" t="s">
        <v>412</v>
      </c>
      <c r="D813" s="6" t="n">
        <v>0.00123248586514245</v>
      </c>
      <c r="E813" s="6" t="n">
        <v>0.000879196065996011</v>
      </c>
      <c r="F813" s="7" t="n">
        <v>0.160965187363103</v>
      </c>
    </row>
    <row r="814" customFormat="false" ht="15" hidden="false" customHeight="true" outlineLevel="0" collapsed="false">
      <c r="A814" s="5" t="s">
        <v>88</v>
      </c>
      <c r="B814" s="5" t="s">
        <v>79</v>
      </c>
      <c r="C814" s="5" t="s">
        <v>413</v>
      </c>
      <c r="D814" s="6" t="n">
        <v>0.00131453816070403</v>
      </c>
      <c r="E814" s="6" t="n">
        <v>0.000879351263787689</v>
      </c>
      <c r="F814" s="7" t="n">
        <v>0.134941742553253</v>
      </c>
    </row>
    <row r="815" customFormat="false" ht="15" hidden="false" customHeight="true" outlineLevel="0" collapsed="false">
      <c r="A815" s="5" t="s">
        <v>88</v>
      </c>
      <c r="B815" s="5" t="s">
        <v>79</v>
      </c>
      <c r="C815" s="5" t="s">
        <v>414</v>
      </c>
      <c r="D815" s="6" t="n">
        <v>0.00125460150680653</v>
      </c>
      <c r="E815" s="6" t="n">
        <v>0.000880108603067555</v>
      </c>
      <c r="F815" s="7" t="n">
        <v>0.154010523378514</v>
      </c>
    </row>
    <row r="816" customFormat="false" ht="15" hidden="false" customHeight="true" outlineLevel="0" collapsed="false">
      <c r="A816" s="5" t="s">
        <v>88</v>
      </c>
      <c r="B816" s="5" t="s">
        <v>79</v>
      </c>
      <c r="C816" s="5" t="s">
        <v>415</v>
      </c>
      <c r="D816" s="6" t="n">
        <v>0.00127587250643992</v>
      </c>
      <c r="E816" s="6" t="n">
        <v>0.000879528053991857</v>
      </c>
      <c r="F816" s="7" t="n">
        <v>0.146882053593218</v>
      </c>
    </row>
    <row r="817" customFormat="false" ht="15" hidden="false" customHeight="true" outlineLevel="0" collapsed="false">
      <c r="A817" s="5" t="s">
        <v>88</v>
      </c>
      <c r="B817" s="5" t="s">
        <v>79</v>
      </c>
      <c r="C817" s="5" t="s">
        <v>416</v>
      </c>
      <c r="D817" s="6" t="n">
        <v>0.00126255852083076</v>
      </c>
      <c r="E817" s="6" t="n">
        <v>0.000878890624214519</v>
      </c>
      <c r="F817" s="7" t="n">
        <v>0.150849718634063</v>
      </c>
    </row>
    <row r="818" customFormat="false" ht="15" hidden="false" customHeight="true" outlineLevel="0" collapsed="false">
      <c r="A818" s="5" t="s">
        <v>88</v>
      </c>
      <c r="B818" s="5" t="s">
        <v>79</v>
      </c>
      <c r="C818" s="5" t="s">
        <v>778</v>
      </c>
      <c r="D818" s="6" t="n">
        <v>0.00126566924086387</v>
      </c>
      <c r="E818" s="6" t="n">
        <v>0.000879421430988161</v>
      </c>
      <c r="F818" s="7" t="n">
        <v>0.150091959533305</v>
      </c>
    </row>
    <row r="819" customFormat="false" ht="15" hidden="false" customHeight="true" outlineLevel="0" collapsed="false">
      <c r="A819" s="5" t="s">
        <v>88</v>
      </c>
      <c r="B819" s="5" t="s">
        <v>79</v>
      </c>
      <c r="C819" s="5" t="s">
        <v>417</v>
      </c>
      <c r="D819" s="6" t="n">
        <v>0.00125549059226237</v>
      </c>
      <c r="E819" s="6" t="n">
        <v>0.000879065619987379</v>
      </c>
      <c r="F819" s="7" t="n">
        <v>0.153231330488943</v>
      </c>
    </row>
    <row r="820" customFormat="false" ht="15" hidden="false" customHeight="true" outlineLevel="0" collapsed="false">
      <c r="A820" s="5" t="s">
        <v>88</v>
      </c>
      <c r="B820" s="5" t="s">
        <v>79</v>
      </c>
      <c r="C820" s="5" t="s">
        <v>418</v>
      </c>
      <c r="D820" s="6" t="n">
        <v>0.00127909152326043</v>
      </c>
      <c r="E820" s="6" t="n">
        <v>0.000879838194069712</v>
      </c>
      <c r="F820" s="7" t="n">
        <v>0.146007198691288</v>
      </c>
    </row>
    <row r="821" customFormat="false" ht="15" hidden="false" customHeight="true" outlineLevel="0" collapsed="false">
      <c r="A821" s="5" t="s">
        <v>88</v>
      </c>
      <c r="B821" s="5" t="s">
        <v>79</v>
      </c>
      <c r="C821" s="5" t="s">
        <v>419</v>
      </c>
      <c r="D821" s="6" t="n">
        <v>0.00127449464388558</v>
      </c>
      <c r="E821" s="6" t="n">
        <v>0.000879933072007327</v>
      </c>
      <c r="F821" s="7" t="n">
        <v>0.147505347460704</v>
      </c>
    </row>
    <row r="822" customFormat="false" ht="15" hidden="false" customHeight="true" outlineLevel="0" collapsed="false">
      <c r="A822" s="5" t="s">
        <v>88</v>
      </c>
      <c r="B822" s="5" t="s">
        <v>79</v>
      </c>
      <c r="C822" s="5" t="s">
        <v>420</v>
      </c>
      <c r="D822" s="6" t="n">
        <v>0.00136667456135402</v>
      </c>
      <c r="E822" s="6" t="n">
        <v>0.000878412603904384</v>
      </c>
      <c r="F822" s="7" t="n">
        <v>0.119744764033525</v>
      </c>
    </row>
    <row r="823" customFormat="false" ht="15" hidden="false" customHeight="true" outlineLevel="0" collapsed="false">
      <c r="A823" s="5" t="s">
        <v>88</v>
      </c>
      <c r="B823" s="5" t="s">
        <v>79</v>
      </c>
      <c r="C823" s="5" t="s">
        <v>421</v>
      </c>
      <c r="D823" s="6" t="n">
        <v>0.00130100890417342</v>
      </c>
      <c r="E823" s="6" t="n">
        <v>0.000880636918746492</v>
      </c>
      <c r="F823" s="7" t="n">
        <v>0.139581856118476</v>
      </c>
    </row>
    <row r="824" customFormat="false" ht="15" hidden="false" customHeight="true" outlineLevel="0" collapsed="false">
      <c r="A824" s="5" t="s">
        <v>88</v>
      </c>
      <c r="B824" s="5" t="s">
        <v>79</v>
      </c>
      <c r="C824" s="5" t="s">
        <v>422</v>
      </c>
      <c r="D824" s="6" t="n">
        <v>0.00125827679366694</v>
      </c>
      <c r="E824" s="6" t="n">
        <v>0.000879663846654803</v>
      </c>
      <c r="F824" s="7" t="n">
        <v>0.152600413258939</v>
      </c>
    </row>
    <row r="825" customFormat="false" ht="15" hidden="false" customHeight="true" outlineLevel="0" collapsed="false">
      <c r="A825" s="5" t="s">
        <v>88</v>
      </c>
      <c r="B825" s="5" t="s">
        <v>79</v>
      </c>
      <c r="C825" s="5" t="s">
        <v>423</v>
      </c>
      <c r="D825" s="6" t="n">
        <v>0.00128184383102941</v>
      </c>
      <c r="E825" s="6" t="n">
        <v>0.000879773195453717</v>
      </c>
      <c r="F825" s="7" t="n">
        <v>0.145111898121199</v>
      </c>
    </row>
    <row r="826" customFormat="false" ht="15" hidden="false" customHeight="true" outlineLevel="0" collapsed="false">
      <c r="A826" s="5" t="s">
        <v>88</v>
      </c>
      <c r="B826" s="5" t="s">
        <v>79</v>
      </c>
      <c r="C826" s="5" t="s">
        <v>424</v>
      </c>
      <c r="D826" s="6" t="n">
        <v>0.00132259843949987</v>
      </c>
      <c r="E826" s="6" t="n">
        <v>0.0008874575205677</v>
      </c>
      <c r="F826" s="7" t="n">
        <v>0.136139302568809</v>
      </c>
    </row>
    <row r="827" customFormat="false" ht="15" hidden="false" customHeight="true" outlineLevel="0" collapsed="false">
      <c r="A827" s="5" t="s">
        <v>88</v>
      </c>
      <c r="B827" s="5" t="s">
        <v>79</v>
      </c>
      <c r="C827" s="5" t="s">
        <v>425</v>
      </c>
      <c r="D827" s="6" t="n">
        <v>0.00125745921620869</v>
      </c>
      <c r="E827" s="6" t="n">
        <v>0.000879790111465281</v>
      </c>
      <c r="F827" s="7" t="n">
        <v>0.152926121416453</v>
      </c>
    </row>
    <row r="828" customFormat="false" ht="15" hidden="false" customHeight="true" outlineLevel="0" collapsed="false">
      <c r="A828" s="5" t="s">
        <v>88</v>
      </c>
      <c r="B828" s="5" t="s">
        <v>79</v>
      </c>
      <c r="C828" s="5" t="s">
        <v>779</v>
      </c>
      <c r="D828" s="6" t="n">
        <v>0.00131712332819603</v>
      </c>
      <c r="E828" s="6" t="n">
        <v>0.00087870591308962</v>
      </c>
      <c r="F828" s="7" t="n">
        <v>0.13389041265522</v>
      </c>
    </row>
    <row r="829" customFormat="false" ht="15" hidden="false" customHeight="true" outlineLevel="0" collapsed="false">
      <c r="A829" s="5" t="s">
        <v>88</v>
      </c>
      <c r="B829" s="5" t="s">
        <v>79</v>
      </c>
      <c r="C829" s="5" t="s">
        <v>780</v>
      </c>
      <c r="D829" s="6" t="n">
        <v>0.00122303634589313</v>
      </c>
      <c r="E829" s="6" t="n">
        <v>0.000881149760239147</v>
      </c>
      <c r="F829" s="7" t="n">
        <v>0.165136879691575</v>
      </c>
    </row>
    <row r="830" customFormat="false" ht="15" hidden="false" customHeight="true" outlineLevel="0" collapsed="false">
      <c r="A830" s="5" t="s">
        <v>88</v>
      </c>
      <c r="B830" s="5" t="s">
        <v>79</v>
      </c>
      <c r="C830" s="5" t="s">
        <v>426</v>
      </c>
      <c r="D830" s="6" t="n">
        <v>0.00133079295114534</v>
      </c>
      <c r="E830" s="6" t="n">
        <v>0.000878271727639437</v>
      </c>
      <c r="F830" s="7" t="n">
        <v>0.129711493025089</v>
      </c>
    </row>
    <row r="831" customFormat="false" ht="15" hidden="false" customHeight="true" outlineLevel="0" collapsed="false">
      <c r="A831" s="5" t="s">
        <v>88</v>
      </c>
      <c r="B831" s="5" t="s">
        <v>79</v>
      </c>
      <c r="C831" s="5" t="s">
        <v>427</v>
      </c>
      <c r="D831" s="6" t="n">
        <v>0.00127417659913593</v>
      </c>
      <c r="E831" s="6" t="n">
        <v>0.000879531102650465</v>
      </c>
      <c r="F831" s="7" t="n">
        <v>0.147421415190511</v>
      </c>
    </row>
    <row r="832" customFormat="false" ht="15" hidden="false" customHeight="true" outlineLevel="0" collapsed="false">
      <c r="A832" s="5" t="s">
        <v>88</v>
      </c>
      <c r="B832" s="5" t="s">
        <v>79</v>
      </c>
      <c r="C832" s="5" t="s">
        <v>428</v>
      </c>
      <c r="D832" s="6" t="n">
        <v>0.0012908823107577</v>
      </c>
      <c r="E832" s="6" t="n">
        <v>0.000880137087219383</v>
      </c>
      <c r="F832" s="7" t="n">
        <v>0.142462245429534</v>
      </c>
    </row>
    <row r="833" customFormat="false" ht="15" hidden="false" customHeight="true" outlineLevel="0" collapsed="false">
      <c r="A833" s="5" t="s">
        <v>88</v>
      </c>
      <c r="B833" s="5" t="s">
        <v>79</v>
      </c>
      <c r="C833" s="5" t="s">
        <v>429</v>
      </c>
      <c r="D833" s="6" t="n">
        <v>0.00124241774899256</v>
      </c>
      <c r="E833" s="6" t="n">
        <v>0.000879354174929971</v>
      </c>
      <c r="F833" s="7" t="n">
        <v>0.157692407739809</v>
      </c>
    </row>
    <row r="834" customFormat="false" ht="15" hidden="false" customHeight="true" outlineLevel="0" collapsed="false">
      <c r="A834" s="5" t="s">
        <v>88</v>
      </c>
      <c r="B834" s="5" t="s">
        <v>79</v>
      </c>
      <c r="C834" s="5" t="s">
        <v>430</v>
      </c>
      <c r="D834" s="6" t="n">
        <v>0.00132314982952926</v>
      </c>
      <c r="E834" s="6" t="n">
        <v>0.000880733230258512</v>
      </c>
      <c r="F834" s="7" t="n">
        <v>0.133012527165757</v>
      </c>
    </row>
    <row r="835" customFormat="false" ht="15" hidden="false" customHeight="true" outlineLevel="0" collapsed="false">
      <c r="A835" s="5" t="s">
        <v>88</v>
      </c>
      <c r="B835" s="5" t="s">
        <v>79</v>
      </c>
      <c r="C835" s="5" t="s">
        <v>431</v>
      </c>
      <c r="D835" s="6" t="n">
        <v>0.0012851080628101</v>
      </c>
      <c r="E835" s="6" t="n">
        <v>0.000880964546240313</v>
      </c>
      <c r="F835" s="7" t="n">
        <v>0.144633606641891</v>
      </c>
    </row>
    <row r="836" customFormat="false" ht="15" hidden="false" customHeight="true" outlineLevel="0" collapsed="false">
      <c r="A836" s="5" t="s">
        <v>88</v>
      </c>
      <c r="B836" s="5" t="s">
        <v>79</v>
      </c>
      <c r="C836" s="5" t="s">
        <v>432</v>
      </c>
      <c r="D836" s="6" t="n">
        <v>0.00127158485227717</v>
      </c>
      <c r="E836" s="6" t="n">
        <v>0.00088013474036259</v>
      </c>
      <c r="F836" s="7" t="n">
        <v>0.148524868042493</v>
      </c>
    </row>
    <row r="837" customFormat="false" ht="15" hidden="false" customHeight="true" outlineLevel="0" collapsed="false">
      <c r="A837" s="5" t="s">
        <v>88</v>
      </c>
      <c r="B837" s="5" t="s">
        <v>79</v>
      </c>
      <c r="C837" s="5" t="s">
        <v>433</v>
      </c>
      <c r="D837" s="6" t="n">
        <v>0.00129577608246431</v>
      </c>
      <c r="E837" s="6" t="n">
        <v>0.000880081085159934</v>
      </c>
      <c r="F837" s="7" t="n">
        <v>0.140929854243232</v>
      </c>
    </row>
    <row r="838" customFormat="false" ht="15" hidden="false" customHeight="true" outlineLevel="0" collapsed="false">
      <c r="A838" s="5" t="s">
        <v>88</v>
      </c>
      <c r="B838" s="5" t="s">
        <v>79</v>
      </c>
      <c r="C838" s="5" t="s">
        <v>434</v>
      </c>
      <c r="D838" s="6" t="n">
        <v>0.00136450439130724</v>
      </c>
      <c r="E838" s="6" t="n">
        <v>0.000877029264528591</v>
      </c>
      <c r="F838" s="7" t="n">
        <v>0.119749620538931</v>
      </c>
    </row>
    <row r="839" customFormat="false" ht="15" hidden="false" customHeight="true" outlineLevel="0" collapsed="false">
      <c r="A839" s="5" t="s">
        <v>88</v>
      </c>
      <c r="B839" s="5" t="s">
        <v>79</v>
      </c>
      <c r="C839" s="5" t="s">
        <v>435</v>
      </c>
      <c r="D839" s="6" t="n">
        <v>0.0012963749176532</v>
      </c>
      <c r="E839" s="6" t="n">
        <v>0.000879777188545929</v>
      </c>
      <c r="F839" s="7" t="n">
        <v>0.140609149354955</v>
      </c>
    </row>
    <row r="840" customFormat="false" ht="15" hidden="false" customHeight="true" outlineLevel="0" collapsed="false">
      <c r="A840" s="5" t="s">
        <v>88</v>
      </c>
      <c r="B840" s="5" t="s">
        <v>79</v>
      </c>
      <c r="C840" s="5" t="s">
        <v>436</v>
      </c>
      <c r="D840" s="6" t="n">
        <v>0.00125684514460698</v>
      </c>
      <c r="E840" s="6" t="n">
        <v>0.00087962015108015</v>
      </c>
      <c r="F840" s="7" t="n">
        <v>0.153047386391206</v>
      </c>
    </row>
    <row r="841" customFormat="false" ht="15" hidden="false" customHeight="true" outlineLevel="0" collapsed="false">
      <c r="A841" s="5" t="s">
        <v>88</v>
      </c>
      <c r="B841" s="5" t="s">
        <v>79</v>
      </c>
      <c r="C841" s="5" t="s">
        <v>437</v>
      </c>
      <c r="D841" s="6" t="n">
        <v>0.00128957932816472</v>
      </c>
      <c r="E841" s="6" t="n">
        <v>0.000880009151517692</v>
      </c>
      <c r="F841" s="7" t="n">
        <v>0.142807505153159</v>
      </c>
    </row>
    <row r="842" customFormat="false" ht="15" hidden="false" customHeight="true" outlineLevel="0" collapsed="false">
      <c r="A842" s="5" t="s">
        <v>88</v>
      </c>
      <c r="B842" s="5" t="s">
        <v>79</v>
      </c>
      <c r="C842" s="5" t="s">
        <v>438</v>
      </c>
      <c r="D842" s="6" t="n">
        <v>0.00127632430856418</v>
      </c>
      <c r="E842" s="6" t="n">
        <v>0.000879841633073226</v>
      </c>
      <c r="F842" s="7" t="n">
        <v>0.146883030811601</v>
      </c>
    </row>
    <row r="843" customFormat="false" ht="15" hidden="false" customHeight="true" outlineLevel="0" collapsed="false">
      <c r="A843" s="5" t="s">
        <v>88</v>
      </c>
      <c r="B843" s="5" t="s">
        <v>79</v>
      </c>
      <c r="C843" s="5" t="s">
        <v>439</v>
      </c>
      <c r="D843" s="6" t="n">
        <v>0.00127445670715115</v>
      </c>
      <c r="E843" s="6" t="n">
        <v>0.000879691295857041</v>
      </c>
      <c r="F843" s="7" t="n">
        <v>0.147406159673048</v>
      </c>
    </row>
    <row r="844" customFormat="false" ht="15" hidden="false" customHeight="true" outlineLevel="0" collapsed="false">
      <c r="A844" s="5" t="s">
        <v>88</v>
      </c>
      <c r="B844" s="5" t="s">
        <v>79</v>
      </c>
      <c r="C844" s="5" t="s">
        <v>440</v>
      </c>
      <c r="D844" s="6" t="n">
        <v>0.00126244206855335</v>
      </c>
      <c r="E844" s="6" t="n">
        <v>0.000878829018671325</v>
      </c>
      <c r="F844" s="7" t="n">
        <v>0.150858762854801</v>
      </c>
    </row>
    <row r="845" customFormat="false" ht="15" hidden="false" customHeight="true" outlineLevel="0" collapsed="false">
      <c r="A845" s="5" t="s">
        <v>88</v>
      </c>
      <c r="B845" s="5" t="s">
        <v>79</v>
      </c>
      <c r="C845" s="5" t="s">
        <v>441</v>
      </c>
      <c r="D845" s="6" t="n">
        <v>0.00124385143819517</v>
      </c>
      <c r="E845" s="6" t="n">
        <v>0.000880534340498206</v>
      </c>
      <c r="F845" s="7" t="n">
        <v>0.157770486108687</v>
      </c>
    </row>
    <row r="846" customFormat="false" ht="15" hidden="false" customHeight="true" outlineLevel="0" collapsed="false">
      <c r="A846" s="5" t="s">
        <v>88</v>
      </c>
      <c r="B846" s="5" t="s">
        <v>79</v>
      </c>
      <c r="C846" s="5" t="s">
        <v>442</v>
      </c>
      <c r="D846" s="6" t="n">
        <v>0.00121583541870975</v>
      </c>
      <c r="E846" s="6" t="n">
        <v>0.000875655601957544</v>
      </c>
      <c r="F846" s="7" t="n">
        <v>0.164989148527145</v>
      </c>
    </row>
    <row r="847" customFormat="false" ht="15" hidden="false" customHeight="true" outlineLevel="0" collapsed="false">
      <c r="A847" s="5" t="s">
        <v>88</v>
      </c>
      <c r="B847" s="5" t="s">
        <v>79</v>
      </c>
      <c r="C847" s="5" t="s">
        <v>443</v>
      </c>
      <c r="D847" s="6" t="n">
        <v>0.00127726913382827</v>
      </c>
      <c r="E847" s="6" t="n">
        <v>0.0008816200367623</v>
      </c>
      <c r="F847" s="7" t="n">
        <v>0.14740040697117</v>
      </c>
    </row>
    <row r="848" customFormat="false" ht="15" hidden="false" customHeight="true" outlineLevel="0" collapsed="false">
      <c r="A848" s="5" t="s">
        <v>88</v>
      </c>
      <c r="B848" s="5" t="s">
        <v>79</v>
      </c>
      <c r="C848" s="5" t="s">
        <v>444</v>
      </c>
      <c r="D848" s="6" t="n">
        <v>0.00132786104514227</v>
      </c>
      <c r="E848" s="6" t="n">
        <v>0.000880015772222037</v>
      </c>
      <c r="F848" s="7" t="n">
        <v>0.131322816091236</v>
      </c>
    </row>
    <row r="849" customFormat="false" ht="15" hidden="false" customHeight="true" outlineLevel="0" collapsed="false">
      <c r="A849" s="5" t="s">
        <v>88</v>
      </c>
      <c r="B849" s="5" t="s">
        <v>79</v>
      </c>
      <c r="C849" s="5" t="s">
        <v>445</v>
      </c>
      <c r="D849" s="6" t="n">
        <v>0.00135229583647679</v>
      </c>
      <c r="E849" s="6" t="n">
        <v>0.000877591138180063</v>
      </c>
      <c r="F849" s="7" t="n">
        <v>0.123336784608035</v>
      </c>
    </row>
    <row r="850" customFormat="false" ht="15" hidden="false" customHeight="true" outlineLevel="0" collapsed="false">
      <c r="A850" s="5" t="s">
        <v>88</v>
      </c>
      <c r="B850" s="5" t="s">
        <v>79</v>
      </c>
      <c r="C850" s="5" t="s">
        <v>446</v>
      </c>
      <c r="D850" s="6" t="n">
        <v>0.00129947596128849</v>
      </c>
      <c r="E850" s="6" t="n">
        <v>0.000880103719722304</v>
      </c>
      <c r="F850" s="7" t="n">
        <v>0.139808855981348</v>
      </c>
    </row>
    <row r="851" customFormat="false" ht="15" hidden="false" customHeight="true" outlineLevel="0" collapsed="false">
      <c r="A851" s="5" t="s">
        <v>88</v>
      </c>
      <c r="B851" s="5" t="s">
        <v>79</v>
      </c>
      <c r="C851" s="5" t="s">
        <v>447</v>
      </c>
      <c r="D851" s="6" t="n">
        <v>0.00125223444388371</v>
      </c>
      <c r="E851" s="6" t="n">
        <v>0.000879579346242094</v>
      </c>
      <c r="F851" s="7" t="n">
        <v>0.154540798389201</v>
      </c>
    </row>
    <row r="852" customFormat="false" ht="15" hidden="false" customHeight="true" outlineLevel="0" collapsed="false">
      <c r="A852" s="5" t="s">
        <v>88</v>
      </c>
      <c r="B852" s="5" t="s">
        <v>79</v>
      </c>
      <c r="C852" s="5" t="s">
        <v>448</v>
      </c>
      <c r="D852" s="6" t="n">
        <v>0.00124993968707743</v>
      </c>
      <c r="E852" s="6" t="n">
        <v>0.000878874528577532</v>
      </c>
      <c r="F852" s="7" t="n">
        <v>0.154966768116143</v>
      </c>
    </row>
    <row r="853" customFormat="false" ht="15" hidden="false" customHeight="true" outlineLevel="0" collapsed="false">
      <c r="A853" s="5" t="s">
        <v>88</v>
      </c>
      <c r="B853" s="5" t="s">
        <v>79</v>
      </c>
      <c r="C853" s="5" t="s">
        <v>449</v>
      </c>
      <c r="D853" s="6" t="n">
        <v>0.00126228736185452</v>
      </c>
      <c r="E853" s="6" t="n">
        <v>0.000879408326978342</v>
      </c>
      <c r="F853" s="7" t="n">
        <v>0.151178117408389</v>
      </c>
    </row>
    <row r="854" customFormat="false" ht="15" hidden="false" customHeight="true" outlineLevel="0" collapsed="false">
      <c r="A854" s="5" t="s">
        <v>88</v>
      </c>
      <c r="B854" s="5" t="s">
        <v>79</v>
      </c>
      <c r="C854" s="5" t="s">
        <v>450</v>
      </c>
      <c r="D854" s="6" t="n">
        <v>0.00128444276659603</v>
      </c>
      <c r="E854" s="6" t="n">
        <v>0.000879786044530621</v>
      </c>
      <c r="F854" s="7" t="n">
        <v>0.144304087607353</v>
      </c>
    </row>
    <row r="855" customFormat="false" ht="15" hidden="false" customHeight="true" outlineLevel="0" collapsed="false">
      <c r="A855" s="5" t="s">
        <v>88</v>
      </c>
      <c r="B855" s="5" t="s">
        <v>79</v>
      </c>
      <c r="C855" s="5" t="s">
        <v>451</v>
      </c>
      <c r="D855" s="6" t="n">
        <v>0.00127875126815311</v>
      </c>
      <c r="E855" s="6" t="n">
        <v>0.00087968653422007</v>
      </c>
      <c r="F855" s="7" t="n">
        <v>0.146044963339604</v>
      </c>
    </row>
    <row r="856" customFormat="false" ht="15" hidden="false" customHeight="true" outlineLevel="0" collapsed="false">
      <c r="A856" s="5" t="s">
        <v>88</v>
      </c>
      <c r="B856" s="5" t="s">
        <v>79</v>
      </c>
      <c r="C856" s="5" t="s">
        <v>452</v>
      </c>
      <c r="D856" s="6" t="n">
        <v>0.00128674327817149</v>
      </c>
      <c r="E856" s="6" t="n">
        <v>0.000879783034179933</v>
      </c>
      <c r="F856" s="7" t="n">
        <v>0.143585386557728</v>
      </c>
    </row>
    <row r="857" customFormat="false" ht="15" hidden="false" customHeight="true" outlineLevel="0" collapsed="false">
      <c r="A857" s="5" t="s">
        <v>88</v>
      </c>
      <c r="B857" s="5" t="s">
        <v>79</v>
      </c>
      <c r="C857" s="5" t="s">
        <v>453</v>
      </c>
      <c r="D857" s="6" t="n">
        <v>0.00130395323046774</v>
      </c>
      <c r="E857" s="6" t="n">
        <v>0.000879742271532311</v>
      </c>
      <c r="F857" s="7" t="n">
        <v>0.138287317715423</v>
      </c>
    </row>
    <row r="858" customFormat="false" ht="15" hidden="false" customHeight="true" outlineLevel="0" collapsed="false">
      <c r="A858" s="5" t="s">
        <v>88</v>
      </c>
      <c r="B858" s="5" t="s">
        <v>79</v>
      </c>
      <c r="C858" s="5" t="s">
        <v>454</v>
      </c>
      <c r="D858" s="6" t="n">
        <v>0.00130823801711049</v>
      </c>
      <c r="E858" s="6" t="n">
        <v>0.000879185127974934</v>
      </c>
      <c r="F858" s="7" t="n">
        <v>0.136747730069111</v>
      </c>
    </row>
    <row r="859" customFormat="false" ht="15" hidden="false" customHeight="true" outlineLevel="0" collapsed="false">
      <c r="A859" s="5" t="s">
        <v>88</v>
      </c>
      <c r="B859" s="5" t="s">
        <v>79</v>
      </c>
      <c r="C859" s="5" t="s">
        <v>455</v>
      </c>
      <c r="D859" s="6" t="n">
        <v>0.00127638151208404</v>
      </c>
      <c r="E859" s="6" t="n">
        <v>0.000879935075163673</v>
      </c>
      <c r="F859" s="7" t="n">
        <v>0.146907838572606</v>
      </c>
    </row>
    <row r="860" customFormat="false" ht="15" hidden="false" customHeight="true" outlineLevel="0" collapsed="false">
      <c r="A860" s="5" t="s">
        <v>88</v>
      </c>
      <c r="B860" s="5" t="s">
        <v>79</v>
      </c>
      <c r="C860" s="5" t="s">
        <v>456</v>
      </c>
      <c r="D860" s="6" t="n">
        <v>0.00128531913944073</v>
      </c>
      <c r="E860" s="6" t="n">
        <v>0.00087977916804425</v>
      </c>
      <c r="F860" s="7" t="n">
        <v>0.144027365461625</v>
      </c>
    </row>
    <row r="861" customFormat="false" ht="15" hidden="false" customHeight="true" outlineLevel="0" collapsed="false">
      <c r="A861" s="5" t="s">
        <v>88</v>
      </c>
      <c r="B861" s="5" t="s">
        <v>79</v>
      </c>
      <c r="C861" s="5" t="s">
        <v>457</v>
      </c>
      <c r="D861" s="6" t="n">
        <v>0.00127712263009825</v>
      </c>
      <c r="E861" s="6" t="n">
        <v>0.000879623893699173</v>
      </c>
      <c r="F861" s="7" t="n">
        <v>0.146530456231403</v>
      </c>
    </row>
    <row r="862" customFormat="false" ht="15" hidden="false" customHeight="true" outlineLevel="0" collapsed="false">
      <c r="A862" s="5" t="s">
        <v>88</v>
      </c>
      <c r="B862" s="5" t="s">
        <v>79</v>
      </c>
      <c r="C862" s="5" t="s">
        <v>458</v>
      </c>
      <c r="D862" s="6" t="n">
        <v>0.00134267214919865</v>
      </c>
      <c r="E862" s="6" t="n">
        <v>0.000876403198417336</v>
      </c>
      <c r="F862" s="7" t="n">
        <v>0.12551611385252</v>
      </c>
    </row>
    <row r="863" customFormat="false" ht="15" hidden="false" customHeight="true" outlineLevel="0" collapsed="false">
      <c r="A863" s="5" t="s">
        <v>88</v>
      </c>
      <c r="B863" s="5" t="s">
        <v>79</v>
      </c>
      <c r="C863" s="5" t="s">
        <v>459</v>
      </c>
      <c r="D863" s="6" t="n">
        <v>0.00127603521957829</v>
      </c>
      <c r="E863" s="6" t="n">
        <v>0.000879748001020545</v>
      </c>
      <c r="F863" s="7" t="n">
        <v>0.146931573846633</v>
      </c>
    </row>
    <row r="864" customFormat="false" ht="15" hidden="false" customHeight="true" outlineLevel="0" collapsed="false">
      <c r="A864" s="5" t="s">
        <v>88</v>
      </c>
      <c r="B864" s="5" t="s">
        <v>79</v>
      </c>
      <c r="C864" s="5" t="s">
        <v>460</v>
      </c>
      <c r="D864" s="6" t="n">
        <v>0.00132350351934993</v>
      </c>
      <c r="E864" s="6" t="n">
        <v>0.000878494771349037</v>
      </c>
      <c r="F864" s="7" t="n">
        <v>0.131923933295619</v>
      </c>
    </row>
    <row r="865" customFormat="false" ht="15" hidden="false" customHeight="true" outlineLevel="0" collapsed="false">
      <c r="A865" s="5" t="s">
        <v>88</v>
      </c>
      <c r="B865" s="5" t="s">
        <v>79</v>
      </c>
      <c r="C865" s="5" t="s">
        <v>461</v>
      </c>
      <c r="D865" s="6" t="n">
        <v>0.00125286233151875</v>
      </c>
      <c r="E865" s="6" t="n">
        <v>0.00088058330373547</v>
      </c>
      <c r="F865" s="7" t="n">
        <v>0.154804545079697</v>
      </c>
    </row>
    <row r="866" customFormat="false" ht="15" hidden="false" customHeight="true" outlineLevel="0" collapsed="false">
      <c r="A866" s="5" t="s">
        <v>88</v>
      </c>
      <c r="B866" s="5" t="s">
        <v>79</v>
      </c>
      <c r="C866" s="5" t="s">
        <v>462</v>
      </c>
      <c r="D866" s="6" t="n">
        <v>0.00129386964715404</v>
      </c>
      <c r="E866" s="6" t="n">
        <v>0.000879718075227729</v>
      </c>
      <c r="F866" s="7" t="n">
        <v>0.141351269759323</v>
      </c>
    </row>
    <row r="867" customFormat="false" ht="15" hidden="false" customHeight="true" outlineLevel="0" collapsed="false">
      <c r="A867" s="5" t="s">
        <v>88</v>
      </c>
      <c r="B867" s="5" t="s">
        <v>79</v>
      </c>
      <c r="C867" s="5" t="s">
        <v>463</v>
      </c>
      <c r="D867" s="6" t="n">
        <v>0.00127746768794099</v>
      </c>
      <c r="E867" s="6" t="n">
        <v>0.000879817704363939</v>
      </c>
      <c r="F867" s="7" t="n">
        <v>0.146510333941271</v>
      </c>
    </row>
    <row r="868" customFormat="false" ht="15" hidden="false" customHeight="true" outlineLevel="0" collapsed="false">
      <c r="A868" s="5" t="s">
        <v>88</v>
      </c>
      <c r="B868" s="5" t="s">
        <v>79</v>
      </c>
      <c r="C868" s="5" t="s">
        <v>464</v>
      </c>
      <c r="D868" s="6" t="n">
        <v>0.00131261607848549</v>
      </c>
      <c r="E868" s="6" t="n">
        <v>0.000880579592000579</v>
      </c>
      <c r="F868" s="7" t="n">
        <v>0.136059343229518</v>
      </c>
    </row>
    <row r="869" customFormat="false" ht="15" hidden="false" customHeight="true" outlineLevel="0" collapsed="false">
      <c r="A869" s="5" t="s">
        <v>88</v>
      </c>
      <c r="B869" s="5" t="s">
        <v>79</v>
      </c>
      <c r="C869" s="5" t="s">
        <v>465</v>
      </c>
      <c r="D869" s="6" t="n">
        <v>0.00126248392887879</v>
      </c>
      <c r="E869" s="6" t="n">
        <v>0.000879512718152784</v>
      </c>
      <c r="F869" s="7" t="n">
        <v>0.151162987223412</v>
      </c>
    </row>
    <row r="870" customFormat="false" ht="15" hidden="false" customHeight="true" outlineLevel="0" collapsed="false">
      <c r="A870" s="5" t="s">
        <v>88</v>
      </c>
      <c r="B870" s="5" t="s">
        <v>79</v>
      </c>
      <c r="C870" s="5" t="s">
        <v>466</v>
      </c>
      <c r="D870" s="6" t="n">
        <v>0.0013195488729554</v>
      </c>
      <c r="E870" s="6" t="n">
        <v>0.000879376530939684</v>
      </c>
      <c r="F870" s="7" t="n">
        <v>0.133471868486861</v>
      </c>
    </row>
    <row r="871" customFormat="false" ht="15" hidden="false" customHeight="true" outlineLevel="0" collapsed="false">
      <c r="A871" s="5" t="s">
        <v>88</v>
      </c>
      <c r="B871" s="5" t="s">
        <v>79</v>
      </c>
      <c r="C871" s="5" t="s">
        <v>467</v>
      </c>
      <c r="D871" s="6" t="n">
        <v>0.0012734504601122</v>
      </c>
      <c r="E871" s="6" t="n">
        <v>0.00087962206771186</v>
      </c>
      <c r="F871" s="7" t="n">
        <v>0.147694101827484</v>
      </c>
    </row>
    <row r="872" customFormat="false" ht="15" hidden="false" customHeight="true" outlineLevel="0" collapsed="false">
      <c r="A872" s="5" t="s">
        <v>88</v>
      </c>
      <c r="B872" s="5" t="s">
        <v>79</v>
      </c>
      <c r="C872" s="5" t="s">
        <v>468</v>
      </c>
      <c r="D872" s="6" t="n">
        <v>0.00131230004262893</v>
      </c>
      <c r="E872" s="6" t="n">
        <v>0.000879417575509466</v>
      </c>
      <c r="F872" s="7" t="n">
        <v>0.135636847634397</v>
      </c>
    </row>
    <row r="873" customFormat="false" ht="15" hidden="false" customHeight="true" outlineLevel="0" collapsed="false">
      <c r="A873" s="5" t="s">
        <v>88</v>
      </c>
      <c r="B873" s="5" t="s">
        <v>79</v>
      </c>
      <c r="C873" s="5" t="s">
        <v>469</v>
      </c>
      <c r="D873" s="6" t="n">
        <v>0.00132230452713275</v>
      </c>
      <c r="E873" s="6" t="n">
        <v>0.000879184337209672</v>
      </c>
      <c r="F873" s="7" t="n">
        <v>0.132578062073905</v>
      </c>
    </row>
    <row r="874" customFormat="false" ht="15" hidden="false" customHeight="true" outlineLevel="0" collapsed="false">
      <c r="A874" s="5" t="s">
        <v>88</v>
      </c>
      <c r="B874" s="5" t="s">
        <v>79</v>
      </c>
      <c r="C874" s="5" t="s">
        <v>470</v>
      </c>
      <c r="D874" s="6" t="n">
        <v>0.00128245523283435</v>
      </c>
      <c r="E874" s="6" t="n">
        <v>0.000879783537789926</v>
      </c>
      <c r="F874" s="7" t="n">
        <v>0.144924891312032</v>
      </c>
    </row>
    <row r="875" customFormat="false" ht="15" hidden="false" customHeight="true" outlineLevel="0" collapsed="false">
      <c r="A875" s="5" t="s">
        <v>88</v>
      </c>
      <c r="B875" s="5" t="s">
        <v>79</v>
      </c>
      <c r="C875" s="5" t="s">
        <v>471</v>
      </c>
      <c r="D875" s="6" t="n">
        <v>0.00130784151111691</v>
      </c>
      <c r="E875" s="6" t="n">
        <v>0.000879358803565714</v>
      </c>
      <c r="F875" s="7" t="n">
        <v>0.136944252139958</v>
      </c>
    </row>
    <row r="876" customFormat="false" ht="15" hidden="false" customHeight="true" outlineLevel="0" collapsed="false">
      <c r="A876" s="5" t="s">
        <v>88</v>
      </c>
      <c r="B876" s="5" t="s">
        <v>79</v>
      </c>
      <c r="C876" s="5" t="s">
        <v>472</v>
      </c>
      <c r="D876" s="6" t="n">
        <v>0.0012879592008503</v>
      </c>
      <c r="E876" s="6" t="n">
        <v>0.000880157053245486</v>
      </c>
      <c r="F876" s="7" t="n">
        <v>0.143377419524599</v>
      </c>
    </row>
    <row r="877" customFormat="false" ht="15" hidden="false" customHeight="true" outlineLevel="0" collapsed="false">
      <c r="A877" s="5" t="s">
        <v>88</v>
      </c>
      <c r="B877" s="5" t="s">
        <v>79</v>
      </c>
      <c r="C877" s="5" t="s">
        <v>473</v>
      </c>
      <c r="D877" s="6" t="n">
        <v>0.00127992014370682</v>
      </c>
      <c r="E877" s="6" t="n">
        <v>0.000879914349909842</v>
      </c>
      <c r="F877" s="7" t="n">
        <v>0.145781060345179</v>
      </c>
    </row>
    <row r="878" customFormat="false" ht="15" hidden="false" customHeight="true" outlineLevel="0" collapsed="false">
      <c r="A878" s="5" t="s">
        <v>88</v>
      </c>
      <c r="B878" s="5" t="s">
        <v>79</v>
      </c>
      <c r="C878" s="5" t="s">
        <v>474</v>
      </c>
      <c r="D878" s="6" t="n">
        <v>0.00125563720384372</v>
      </c>
      <c r="E878" s="6" t="n">
        <v>0.000881135344816989</v>
      </c>
      <c r="F878" s="7" t="n">
        <v>0.154150857356494</v>
      </c>
    </row>
    <row r="879" customFormat="false" ht="15" hidden="false" customHeight="true" outlineLevel="0" collapsed="false">
      <c r="A879" s="5" t="s">
        <v>88</v>
      </c>
      <c r="B879" s="5" t="s">
        <v>79</v>
      </c>
      <c r="C879" s="5" t="s">
        <v>475</v>
      </c>
      <c r="D879" s="6" t="n">
        <v>0.00131364009554027</v>
      </c>
      <c r="E879" s="6" t="n">
        <v>0.000879089993064792</v>
      </c>
      <c r="F879" s="7" t="n">
        <v>0.135092494302852</v>
      </c>
    </row>
    <row r="880" customFormat="false" ht="15" hidden="false" customHeight="true" outlineLevel="0" collapsed="false">
      <c r="A880" s="5" t="s">
        <v>88</v>
      </c>
      <c r="B880" s="5" t="s">
        <v>79</v>
      </c>
      <c r="C880" s="5" t="s">
        <v>476</v>
      </c>
      <c r="D880" s="6" t="n">
        <v>0.00138059894653607</v>
      </c>
      <c r="E880" s="6" t="n">
        <v>0.000871706364456237</v>
      </c>
      <c r="F880" s="7" t="n">
        <v>0.113241744570334</v>
      </c>
    </row>
    <row r="881" customFormat="false" ht="15" hidden="false" customHeight="true" outlineLevel="0" collapsed="false">
      <c r="A881" s="5" t="s">
        <v>88</v>
      </c>
      <c r="B881" s="5" t="s">
        <v>79</v>
      </c>
      <c r="C881" s="5" t="s">
        <v>477</v>
      </c>
      <c r="D881" s="6" t="n">
        <v>0.00129595839146925</v>
      </c>
      <c r="E881" s="6" t="n">
        <v>0.000879748533400695</v>
      </c>
      <c r="F881" s="7" t="n">
        <v>0.140723820036874</v>
      </c>
    </row>
    <row r="882" customFormat="false" ht="15" hidden="false" customHeight="true" outlineLevel="0" collapsed="false">
      <c r="A882" s="5" t="s">
        <v>88</v>
      </c>
      <c r="B882" s="5" t="s">
        <v>79</v>
      </c>
      <c r="C882" s="5" t="s">
        <v>478</v>
      </c>
      <c r="D882" s="6" t="n">
        <v>0.00127777104599819</v>
      </c>
      <c r="E882" s="6" t="n">
        <v>0.000879671186375218</v>
      </c>
      <c r="F882" s="7" t="n">
        <v>0.146347263997112</v>
      </c>
    </row>
    <row r="883" customFormat="false" ht="15" hidden="false" customHeight="true" outlineLevel="0" collapsed="false">
      <c r="A883" s="5" t="s">
        <v>88</v>
      </c>
      <c r="B883" s="5" t="s">
        <v>79</v>
      </c>
      <c r="C883" s="5" t="s">
        <v>479</v>
      </c>
      <c r="D883" s="6" t="n">
        <v>0.00130121190626657</v>
      </c>
      <c r="E883" s="6" t="n">
        <v>0.000879609002103814</v>
      </c>
      <c r="F883" s="7" t="n">
        <v>0.13905823663542</v>
      </c>
    </row>
    <row r="884" customFormat="false" ht="15" hidden="false" customHeight="true" outlineLevel="0" collapsed="false">
      <c r="A884" s="5" t="s">
        <v>88</v>
      </c>
      <c r="B884" s="5" t="s">
        <v>79</v>
      </c>
      <c r="C884" s="5" t="s">
        <v>480</v>
      </c>
      <c r="D884" s="6" t="n">
        <v>0.00126714152595461</v>
      </c>
      <c r="E884" s="6" t="n">
        <v>0.000879567776795348</v>
      </c>
      <c r="F884" s="7" t="n">
        <v>0.149686091092175</v>
      </c>
    </row>
    <row r="885" customFormat="false" ht="15" hidden="false" customHeight="true" outlineLevel="0" collapsed="false">
      <c r="A885" s="5" t="s">
        <v>88</v>
      </c>
      <c r="B885" s="5" t="s">
        <v>79</v>
      </c>
      <c r="C885" s="5" t="s">
        <v>481</v>
      </c>
      <c r="D885" s="6" t="n">
        <v>0.00130524188091682</v>
      </c>
      <c r="E885" s="6" t="n">
        <v>0.00087943843969817</v>
      </c>
      <c r="F885" s="7" t="n">
        <v>0.137762097778681</v>
      </c>
    </row>
    <row r="886" customFormat="false" ht="15" hidden="false" customHeight="true" outlineLevel="0" collapsed="false">
      <c r="A886" s="5" t="s">
        <v>88</v>
      </c>
      <c r="B886" s="5" t="s">
        <v>79</v>
      </c>
      <c r="C886" s="5" t="s">
        <v>482</v>
      </c>
      <c r="D886" s="6" t="n">
        <v>0.00124223681036825</v>
      </c>
      <c r="E886" s="6" t="n">
        <v>0.000877753524359212</v>
      </c>
      <c r="F886" s="7" t="n">
        <v>0.156996499837974</v>
      </c>
    </row>
    <row r="887" customFormat="false" ht="15" hidden="false" customHeight="true" outlineLevel="0" collapsed="false">
      <c r="A887" s="5" t="s">
        <v>88</v>
      </c>
      <c r="B887" s="5" t="s">
        <v>79</v>
      </c>
      <c r="C887" s="5" t="s">
        <v>483</v>
      </c>
      <c r="D887" s="6" t="n">
        <v>0.00126455962267265</v>
      </c>
      <c r="E887" s="6" t="n">
        <v>0.000879932322089758</v>
      </c>
      <c r="F887" s="7" t="n">
        <v>0.150686713344623</v>
      </c>
    </row>
    <row r="888" customFormat="false" ht="15" hidden="false" customHeight="true" outlineLevel="0" collapsed="false">
      <c r="A888" s="5" t="s">
        <v>88</v>
      </c>
      <c r="B888" s="5" t="s">
        <v>79</v>
      </c>
      <c r="C888" s="5" t="s">
        <v>484</v>
      </c>
      <c r="D888" s="6" t="n">
        <v>0.00132847091087823</v>
      </c>
      <c r="E888" s="6" t="n">
        <v>0.00087785991147277</v>
      </c>
      <c r="F888" s="7" t="n">
        <v>0.130201880015295</v>
      </c>
    </row>
    <row r="889" customFormat="false" ht="15" hidden="false" customHeight="true" outlineLevel="0" collapsed="false">
      <c r="A889" s="5" t="s">
        <v>88</v>
      </c>
      <c r="B889" s="5" t="s">
        <v>79</v>
      </c>
      <c r="C889" s="5" t="s">
        <v>485</v>
      </c>
      <c r="D889" s="6" t="n">
        <v>0.00132866516664847</v>
      </c>
      <c r="E889" s="6" t="n">
        <v>0.000878482286116394</v>
      </c>
      <c r="F889" s="7" t="n">
        <v>0.130418082566022</v>
      </c>
    </row>
    <row r="890" customFormat="false" ht="15" hidden="false" customHeight="true" outlineLevel="0" collapsed="false">
      <c r="A890" s="5" t="s">
        <v>88</v>
      </c>
      <c r="B890" s="5" t="s">
        <v>79</v>
      </c>
      <c r="C890" s="5" t="s">
        <v>781</v>
      </c>
      <c r="D890" s="6" t="n">
        <v>0.00132046582763674</v>
      </c>
      <c r="E890" s="6" t="n">
        <v>0.000878878152420518</v>
      </c>
      <c r="F890" s="7" t="n">
        <v>0.13298229788013</v>
      </c>
    </row>
    <row r="891" customFormat="false" ht="15" hidden="false" customHeight="true" outlineLevel="0" collapsed="false">
      <c r="A891" s="5" t="s">
        <v>88</v>
      </c>
      <c r="B891" s="5" t="s">
        <v>79</v>
      </c>
      <c r="C891" s="5" t="s">
        <v>486</v>
      </c>
      <c r="D891" s="6" t="n">
        <v>0.00115744443189607</v>
      </c>
      <c r="E891" s="6" t="n">
        <v>0.000875870768629348</v>
      </c>
      <c r="F891" s="7" t="n">
        <v>0.186341850591698</v>
      </c>
    </row>
    <row r="892" customFormat="false" ht="15" hidden="false" customHeight="true" outlineLevel="0" collapsed="false">
      <c r="A892" s="5" t="s">
        <v>88</v>
      </c>
      <c r="B892" s="5" t="s">
        <v>79</v>
      </c>
      <c r="C892" s="5" t="s">
        <v>200</v>
      </c>
      <c r="D892" s="6" t="n">
        <v>0.00137118449418273</v>
      </c>
      <c r="E892" s="6" t="n">
        <v>0.000903261058603851</v>
      </c>
      <c r="F892" s="7" t="n">
        <v>0.129004851938063</v>
      </c>
    </row>
    <row r="893" customFormat="false" ht="15" hidden="false" customHeight="true" outlineLevel="0" collapsed="false">
      <c r="A893" s="5" t="s">
        <v>88</v>
      </c>
      <c r="B893" s="5" t="s">
        <v>79</v>
      </c>
      <c r="C893" s="5" t="s">
        <v>487</v>
      </c>
      <c r="D893" s="6" t="n">
        <v>0.00128091724109371</v>
      </c>
      <c r="E893" s="6" t="n">
        <v>0.000880016430058869</v>
      </c>
      <c r="F893" s="7" t="n">
        <v>0.145514127046684</v>
      </c>
    </row>
    <row r="894" customFormat="false" ht="15" hidden="false" customHeight="true" outlineLevel="0" collapsed="false">
      <c r="A894" s="5" t="s">
        <v>88</v>
      </c>
      <c r="B894" s="5" t="s">
        <v>79</v>
      </c>
      <c r="C894" s="5" t="s">
        <v>782</v>
      </c>
      <c r="D894" s="6" t="n">
        <v>0.00123104213760145</v>
      </c>
      <c r="E894" s="6" t="n">
        <v>0.000878060870531207</v>
      </c>
      <c r="F894" s="7" t="n">
        <v>0.160914975606409</v>
      </c>
    </row>
    <row r="895" customFormat="false" ht="15" hidden="false" customHeight="true" outlineLevel="0" collapsed="false">
      <c r="A895" s="5" t="s">
        <v>88</v>
      </c>
      <c r="B895" s="5" t="s">
        <v>79</v>
      </c>
      <c r="C895" s="5" t="s">
        <v>488</v>
      </c>
      <c r="D895" s="6" t="n">
        <v>0.00142328649337229</v>
      </c>
      <c r="E895" s="6" t="n">
        <v>0.000879483345162989</v>
      </c>
      <c r="F895" s="7" t="n">
        <v>0.105593406249563</v>
      </c>
    </row>
    <row r="896" customFormat="false" ht="15" hidden="false" customHeight="true" outlineLevel="0" collapsed="false">
      <c r="A896" s="5" t="s">
        <v>88</v>
      </c>
      <c r="B896" s="5" t="s">
        <v>79</v>
      </c>
      <c r="C896" s="5" t="s">
        <v>489</v>
      </c>
      <c r="D896" s="6" t="n">
        <v>0.00130697678698935</v>
      </c>
      <c r="E896" s="6" t="n">
        <v>0.000879433982143099</v>
      </c>
      <c r="F896" s="7" t="n">
        <v>0.137237652927913</v>
      </c>
    </row>
    <row r="897" customFormat="false" ht="15" hidden="false" customHeight="true" outlineLevel="0" collapsed="false">
      <c r="A897" s="5" t="s">
        <v>88</v>
      </c>
      <c r="B897" s="5" t="s">
        <v>79</v>
      </c>
      <c r="C897" s="5" t="s">
        <v>490</v>
      </c>
      <c r="D897" s="6" t="n">
        <v>0.00130729185067787</v>
      </c>
      <c r="E897" s="6" t="n">
        <v>0.000879425065593687</v>
      </c>
      <c r="F897" s="7" t="n">
        <v>0.137138955302231</v>
      </c>
    </row>
    <row r="898" customFormat="false" ht="15" hidden="false" customHeight="true" outlineLevel="0" collapsed="false">
      <c r="A898" s="5" t="s">
        <v>88</v>
      </c>
      <c r="B898" s="5" t="s">
        <v>79</v>
      </c>
      <c r="C898" s="5" t="s">
        <v>491</v>
      </c>
      <c r="D898" s="6" t="n">
        <v>0.00124545827653899</v>
      </c>
      <c r="E898" s="6" t="n">
        <v>0.000877537369609101</v>
      </c>
      <c r="F898" s="7" t="n">
        <v>0.155821705036925</v>
      </c>
    </row>
    <row r="899" customFormat="false" ht="15" hidden="false" customHeight="true" outlineLevel="0" collapsed="false">
      <c r="A899" s="5" t="s">
        <v>88</v>
      </c>
      <c r="B899" s="5" t="s">
        <v>79</v>
      </c>
      <c r="C899" s="5" t="s">
        <v>492</v>
      </c>
      <c r="D899" s="6" t="n">
        <v>0.00129045092472173</v>
      </c>
      <c r="E899" s="6" t="n">
        <v>0.00087979065343411</v>
      </c>
      <c r="F899" s="7" t="n">
        <v>0.142438513240595</v>
      </c>
    </row>
    <row r="900" customFormat="false" ht="15" hidden="false" customHeight="true" outlineLevel="0" collapsed="false">
      <c r="A900" s="5" t="s">
        <v>88</v>
      </c>
      <c r="B900" s="5" t="s">
        <v>79</v>
      </c>
      <c r="C900" s="5" t="s">
        <v>493</v>
      </c>
      <c r="D900" s="6" t="n">
        <v>0.00132030430485732</v>
      </c>
      <c r="E900" s="6" t="n">
        <v>0.000878642303207076</v>
      </c>
      <c r="F900" s="7" t="n">
        <v>0.132925667376352</v>
      </c>
    </row>
    <row r="901" customFormat="false" ht="15" hidden="false" customHeight="true" outlineLevel="0" collapsed="false">
      <c r="A901" s="5" t="s">
        <v>88</v>
      </c>
      <c r="B901" s="5" t="s">
        <v>79</v>
      </c>
      <c r="C901" s="5" t="s">
        <v>494</v>
      </c>
      <c r="D901" s="6" t="n">
        <v>0.00132877712518702</v>
      </c>
      <c r="E901" s="6" t="n">
        <v>0.000879231611213434</v>
      </c>
      <c r="F901" s="7" t="n">
        <v>0.130713658547461</v>
      </c>
    </row>
    <row r="902" customFormat="false" ht="15" hidden="false" customHeight="true" outlineLevel="0" collapsed="false">
      <c r="A902" s="5" t="s">
        <v>88</v>
      </c>
      <c r="B902" s="5" t="s">
        <v>79</v>
      </c>
      <c r="C902" s="5" t="s">
        <v>495</v>
      </c>
      <c r="D902" s="6" t="n">
        <v>0.00126366831849019</v>
      </c>
      <c r="E902" s="6" t="n">
        <v>0.000879922061342773</v>
      </c>
      <c r="F902" s="7" t="n">
        <v>0.150969928504208</v>
      </c>
    </row>
    <row r="903" customFormat="false" ht="15" hidden="false" customHeight="true" outlineLevel="0" collapsed="false">
      <c r="A903" s="5" t="s">
        <v>88</v>
      </c>
      <c r="B903" s="5" t="s">
        <v>79</v>
      </c>
      <c r="C903" s="5" t="s">
        <v>496</v>
      </c>
      <c r="D903" s="6" t="n">
        <v>0.00127024823165849</v>
      </c>
      <c r="E903" s="6" t="n">
        <v>0.000879991840421487</v>
      </c>
      <c r="F903" s="7" t="n">
        <v>0.148886067088682</v>
      </c>
    </row>
    <row r="904" customFormat="false" ht="15" hidden="false" customHeight="true" outlineLevel="0" collapsed="false">
      <c r="A904" s="5" t="s">
        <v>88</v>
      </c>
      <c r="B904" s="5" t="s">
        <v>79</v>
      </c>
      <c r="C904" s="5" t="s">
        <v>497</v>
      </c>
      <c r="D904" s="6" t="n">
        <v>0.00127287432436386</v>
      </c>
      <c r="E904" s="6" t="n">
        <v>0.000879535106498896</v>
      </c>
      <c r="F904" s="7" t="n">
        <v>0.147837377172451</v>
      </c>
    </row>
    <row r="905" customFormat="false" ht="15" hidden="false" customHeight="true" outlineLevel="0" collapsed="false">
      <c r="A905" s="5" t="s">
        <v>88</v>
      </c>
      <c r="B905" s="5" t="s">
        <v>79</v>
      </c>
      <c r="C905" s="5" t="s">
        <v>498</v>
      </c>
      <c r="D905" s="6" t="n">
        <v>0.00130360411201174</v>
      </c>
      <c r="E905" s="6" t="n">
        <v>0.000879949365841049</v>
      </c>
      <c r="F905" s="7" t="n">
        <v>0.138485753927789</v>
      </c>
    </row>
    <row r="906" customFormat="false" ht="15" hidden="false" customHeight="true" outlineLevel="0" collapsed="false">
      <c r="A906" s="5" t="s">
        <v>88</v>
      </c>
      <c r="B906" s="5" t="s">
        <v>79</v>
      </c>
      <c r="C906" s="5" t="s">
        <v>499</v>
      </c>
      <c r="D906" s="6" t="n">
        <v>0.00129899024679372</v>
      </c>
      <c r="E906" s="6" t="n">
        <v>0.000879966332532377</v>
      </c>
      <c r="F906" s="7" t="n">
        <v>0.139895105580314</v>
      </c>
    </row>
    <row r="907" customFormat="false" ht="15" hidden="false" customHeight="true" outlineLevel="0" collapsed="false">
      <c r="A907" s="5" t="s">
        <v>88</v>
      </c>
      <c r="B907" s="5" t="s">
        <v>79</v>
      </c>
      <c r="C907" s="5" t="s">
        <v>500</v>
      </c>
      <c r="D907" s="6" t="n">
        <v>0.00133516986031975</v>
      </c>
      <c r="E907" s="6" t="n">
        <v>0.000876811564065387</v>
      </c>
      <c r="F907" s="7" t="n">
        <v>0.127819821700978</v>
      </c>
    </row>
    <row r="908" customFormat="false" ht="15" hidden="false" customHeight="true" outlineLevel="0" collapsed="false">
      <c r="A908" s="5" t="s">
        <v>88</v>
      </c>
      <c r="B908" s="5" t="s">
        <v>79</v>
      </c>
      <c r="C908" s="5" t="s">
        <v>501</v>
      </c>
      <c r="D908" s="6" t="n">
        <v>0.00131017508516192</v>
      </c>
      <c r="E908" s="6" t="n">
        <v>0.000882281802788349</v>
      </c>
      <c r="F908" s="7" t="n">
        <v>0.13754784501218</v>
      </c>
    </row>
    <row r="909" customFormat="false" ht="15" hidden="false" customHeight="true" outlineLevel="0" collapsed="false">
      <c r="A909" s="5" t="s">
        <v>88</v>
      </c>
      <c r="B909" s="5" t="s">
        <v>79</v>
      </c>
      <c r="C909" s="5" t="s">
        <v>502</v>
      </c>
      <c r="D909" s="6" t="n">
        <v>0.00127525297598072</v>
      </c>
      <c r="E909" s="6" t="n">
        <v>0.000879978451695213</v>
      </c>
      <c r="F909" s="7" t="n">
        <v>0.147285480084056</v>
      </c>
    </row>
    <row r="910" customFormat="false" ht="15" hidden="false" customHeight="true" outlineLevel="0" collapsed="false">
      <c r="A910" s="5" t="s">
        <v>88</v>
      </c>
      <c r="B910" s="5" t="s">
        <v>79</v>
      </c>
      <c r="C910" s="5" t="s">
        <v>503</v>
      </c>
      <c r="D910" s="6" t="n">
        <v>0.00125789166710936</v>
      </c>
      <c r="E910" s="6" t="n">
        <v>0.00087892045510982</v>
      </c>
      <c r="F910" s="7" t="n">
        <v>0.152379191389495</v>
      </c>
    </row>
    <row r="911" customFormat="false" ht="15" hidden="false" customHeight="true" outlineLevel="0" collapsed="false">
      <c r="A911" s="5" t="s">
        <v>88</v>
      </c>
      <c r="B911" s="5" t="s">
        <v>79</v>
      </c>
      <c r="C911" s="5" t="s">
        <v>504</v>
      </c>
      <c r="D911" s="6" t="n">
        <v>0.00129128707194997</v>
      </c>
      <c r="E911" s="6" t="n">
        <v>0.000879953875110205</v>
      </c>
      <c r="F911" s="7" t="n">
        <v>0.142254065110883</v>
      </c>
    </row>
    <row r="912" customFormat="false" ht="15" hidden="false" customHeight="true" outlineLevel="0" collapsed="false">
      <c r="A912" s="5" t="s">
        <v>88</v>
      </c>
      <c r="B912" s="5" t="s">
        <v>79</v>
      </c>
      <c r="C912" s="5" t="s">
        <v>505</v>
      </c>
      <c r="D912" s="6" t="n">
        <v>0.00121504204308339</v>
      </c>
      <c r="E912" s="6" t="n">
        <v>0.000877912531016452</v>
      </c>
      <c r="F912" s="7" t="n">
        <v>0.166354583248952</v>
      </c>
    </row>
    <row r="913" customFormat="false" ht="15" hidden="false" customHeight="true" outlineLevel="0" collapsed="false">
      <c r="A913" s="5" t="s">
        <v>88</v>
      </c>
      <c r="B913" s="5" t="s">
        <v>79</v>
      </c>
      <c r="C913" s="5" t="s">
        <v>506</v>
      </c>
      <c r="D913" s="6" t="n">
        <v>0.00129577789791952</v>
      </c>
      <c r="E913" s="6" t="n">
        <v>0.000879754457201243</v>
      </c>
      <c r="F913" s="7" t="n">
        <v>0.140781816160348</v>
      </c>
    </row>
    <row r="914" customFormat="false" ht="15" hidden="false" customHeight="true" outlineLevel="0" collapsed="false">
      <c r="A914" s="5" t="s">
        <v>88</v>
      </c>
      <c r="B914" s="5" t="s">
        <v>79</v>
      </c>
      <c r="C914" s="5" t="s">
        <v>507</v>
      </c>
      <c r="D914" s="6" t="n">
        <v>0.00133770462931927</v>
      </c>
      <c r="E914" s="6" t="n">
        <v>0.00087979727742607</v>
      </c>
      <c r="F914" s="7" t="n">
        <v>0.128393103479612</v>
      </c>
    </row>
    <row r="915" customFormat="false" ht="15" hidden="false" customHeight="true" outlineLevel="0" collapsed="false">
      <c r="A915" s="5" t="s">
        <v>88</v>
      </c>
      <c r="B915" s="5" t="s">
        <v>79</v>
      </c>
      <c r="C915" s="5" t="s">
        <v>508</v>
      </c>
      <c r="D915" s="6" t="n">
        <v>0.00132591589644249</v>
      </c>
      <c r="E915" s="6" t="n">
        <v>0.000878736335545945</v>
      </c>
      <c r="F915" s="7" t="n">
        <v>0.131327062403485</v>
      </c>
    </row>
    <row r="916" customFormat="false" ht="15" hidden="false" customHeight="true" outlineLevel="0" collapsed="false">
      <c r="A916" s="5" t="s">
        <v>88</v>
      </c>
      <c r="B916" s="5" t="s">
        <v>79</v>
      </c>
      <c r="C916" s="5" t="s">
        <v>509</v>
      </c>
      <c r="D916" s="6" t="n">
        <v>0.00126549011043531</v>
      </c>
      <c r="E916" s="6" t="n">
        <v>0.000879044145903657</v>
      </c>
      <c r="F916" s="7" t="n">
        <v>0.14997475221565</v>
      </c>
    </row>
    <row r="917" customFormat="false" ht="15" hidden="false" customHeight="true" outlineLevel="0" collapsed="false">
      <c r="A917" s="5" t="s">
        <v>88</v>
      </c>
      <c r="B917" s="5" t="s">
        <v>79</v>
      </c>
      <c r="C917" s="5" t="s">
        <v>510</v>
      </c>
      <c r="D917" s="6" t="n">
        <v>0.00132986222292375</v>
      </c>
      <c r="E917" s="6" t="n">
        <v>0.000877705345794929</v>
      </c>
      <c r="F917" s="7" t="n">
        <v>0.129732411837857</v>
      </c>
    </row>
    <row r="918" customFormat="false" ht="15" hidden="false" customHeight="true" outlineLevel="0" collapsed="false">
      <c r="A918" s="5" t="s">
        <v>88</v>
      </c>
      <c r="B918" s="5" t="s">
        <v>79</v>
      </c>
      <c r="C918" s="5" t="s">
        <v>511</v>
      </c>
      <c r="D918" s="6" t="n">
        <v>0.00124048289675456</v>
      </c>
      <c r="E918" s="6" t="n">
        <v>0.000878990726014128</v>
      </c>
      <c r="F918" s="7" t="n">
        <v>0.158168485790933</v>
      </c>
    </row>
    <row r="919" customFormat="false" ht="15" hidden="false" customHeight="true" outlineLevel="0" collapsed="false">
      <c r="A919" s="5" t="s">
        <v>88</v>
      </c>
      <c r="B919" s="5" t="s">
        <v>79</v>
      </c>
      <c r="C919" s="5" t="s">
        <v>512</v>
      </c>
      <c r="D919" s="6" t="n">
        <v>0.00129767000952382</v>
      </c>
      <c r="E919" s="6" t="n">
        <v>0.000879797803037887</v>
      </c>
      <c r="F919" s="7" t="n">
        <v>0.140222245861496</v>
      </c>
    </row>
    <row r="920" customFormat="false" ht="15" hidden="false" customHeight="true" outlineLevel="0" collapsed="false">
      <c r="A920" s="5" t="s">
        <v>88</v>
      </c>
      <c r="B920" s="5" t="s">
        <v>79</v>
      </c>
      <c r="C920" s="5" t="s">
        <v>513</v>
      </c>
      <c r="D920" s="6" t="n">
        <v>0.00129151469458838</v>
      </c>
      <c r="E920" s="6" t="n">
        <v>0.000880049918838283</v>
      </c>
      <c r="F920" s="7" t="n">
        <v>0.142227289998759</v>
      </c>
    </row>
    <row r="921" customFormat="false" ht="15" hidden="false" customHeight="true" outlineLevel="0" collapsed="false">
      <c r="A921" s="5" t="s">
        <v>88</v>
      </c>
      <c r="B921" s="5" t="s">
        <v>79</v>
      </c>
      <c r="C921" s="5" t="s">
        <v>514</v>
      </c>
      <c r="D921" s="6" t="n">
        <v>0.0012057618870917</v>
      </c>
      <c r="E921" s="6" t="n">
        <v>0.000879181244637278</v>
      </c>
      <c r="F921" s="7" t="n">
        <v>0.170231612625187</v>
      </c>
    </row>
    <row r="922" customFormat="false" ht="15" hidden="false" customHeight="true" outlineLevel="0" collapsed="false">
      <c r="A922" s="5" t="s">
        <v>88</v>
      </c>
      <c r="B922" s="5" t="s">
        <v>79</v>
      </c>
      <c r="C922" s="5" t="s">
        <v>515</v>
      </c>
      <c r="D922" s="6" t="n">
        <v>0.00130087509745489</v>
      </c>
      <c r="E922" s="6" t="n">
        <v>0.000879994630867963</v>
      </c>
      <c r="F922" s="7" t="n">
        <v>0.139333871845686</v>
      </c>
    </row>
    <row r="923" customFormat="false" ht="15" hidden="false" customHeight="true" outlineLevel="0" collapsed="false">
      <c r="A923" s="5" t="s">
        <v>88</v>
      </c>
      <c r="B923" s="5" t="s">
        <v>79</v>
      </c>
      <c r="C923" s="5" t="s">
        <v>516</v>
      </c>
      <c r="D923" s="6" t="n">
        <v>0.00126711232134051</v>
      </c>
      <c r="E923" s="6" t="n">
        <v>0.000879664166048891</v>
      </c>
      <c r="F923" s="7" t="n">
        <v>0.149740102767595</v>
      </c>
    </row>
    <row r="924" customFormat="false" ht="15" hidden="false" customHeight="true" outlineLevel="0" collapsed="false">
      <c r="A924" s="5" t="s">
        <v>88</v>
      </c>
      <c r="B924" s="5" t="s">
        <v>79</v>
      </c>
      <c r="C924" s="5" t="s">
        <v>517</v>
      </c>
      <c r="D924" s="6" t="n">
        <v>0.00128817089209141</v>
      </c>
      <c r="E924" s="6" t="n">
        <v>0.000881898384897439</v>
      </c>
      <c r="F924" s="7" t="n">
        <v>0.144103417413996</v>
      </c>
    </row>
    <row r="925" customFormat="false" ht="15" hidden="false" customHeight="true" outlineLevel="0" collapsed="false">
      <c r="A925" s="5" t="s">
        <v>88</v>
      </c>
      <c r="B925" s="5" t="s">
        <v>79</v>
      </c>
      <c r="C925" s="5" t="s">
        <v>518</v>
      </c>
      <c r="D925" s="6" t="n">
        <v>0.00128906995635755</v>
      </c>
      <c r="E925" s="6" t="n">
        <v>0.000879814280229166</v>
      </c>
      <c r="F925" s="7" t="n">
        <v>0.142876877608607</v>
      </c>
    </row>
    <row r="926" customFormat="false" ht="15" hidden="false" customHeight="true" outlineLevel="0" collapsed="false">
      <c r="A926" s="5" t="s">
        <v>88</v>
      </c>
      <c r="B926" s="5" t="s">
        <v>79</v>
      </c>
      <c r="C926" s="5" t="s">
        <v>519</v>
      </c>
      <c r="D926" s="6" t="n">
        <v>0.00130246648119948</v>
      </c>
      <c r="E926" s="6" t="n">
        <v>0.000879931806462893</v>
      </c>
      <c r="F926" s="7" t="n">
        <v>0.138822481496689</v>
      </c>
    </row>
    <row r="927" customFormat="false" ht="15" hidden="false" customHeight="true" outlineLevel="0" collapsed="false">
      <c r="A927" s="5" t="s">
        <v>88</v>
      </c>
      <c r="B927" s="5" t="s">
        <v>79</v>
      </c>
      <c r="C927" s="5" t="s">
        <v>520</v>
      </c>
      <c r="D927" s="6" t="n">
        <v>0.00125161813246356</v>
      </c>
      <c r="E927" s="6" t="n">
        <v>0.000877665757898782</v>
      </c>
      <c r="F927" s="7" t="n">
        <v>0.153846386167157</v>
      </c>
    </row>
    <row r="928" customFormat="false" ht="15" hidden="false" customHeight="true" outlineLevel="0" collapsed="false">
      <c r="A928" s="5" t="s">
        <v>88</v>
      </c>
      <c r="B928" s="5" t="s">
        <v>79</v>
      </c>
      <c r="C928" s="5" t="s">
        <v>521</v>
      </c>
      <c r="D928" s="6" t="n">
        <v>0.00126710075208602</v>
      </c>
      <c r="E928" s="6" t="n">
        <v>0.000879479805639788</v>
      </c>
      <c r="F928" s="7" t="n">
        <v>0.149658465761129</v>
      </c>
    </row>
    <row r="929" customFormat="false" ht="15" hidden="false" customHeight="true" outlineLevel="0" collapsed="false">
      <c r="A929" s="5" t="s">
        <v>88</v>
      </c>
      <c r="B929" s="5" t="s">
        <v>79</v>
      </c>
      <c r="C929" s="5" t="s">
        <v>522</v>
      </c>
      <c r="D929" s="6" t="n">
        <v>0.00132788175845252</v>
      </c>
      <c r="E929" s="6" t="n">
        <v>0.000879077274694227</v>
      </c>
      <c r="F929" s="7" t="n">
        <v>0.130905582887301</v>
      </c>
    </row>
    <row r="930" customFormat="false" ht="15" hidden="false" customHeight="true" outlineLevel="0" collapsed="false">
      <c r="A930" s="5" t="s">
        <v>88</v>
      </c>
      <c r="B930" s="5" t="s">
        <v>79</v>
      </c>
      <c r="C930" s="5" t="s">
        <v>523</v>
      </c>
      <c r="D930" s="6" t="n">
        <v>0.0013173980763049</v>
      </c>
      <c r="E930" s="6" t="n">
        <v>0.000878820421095166</v>
      </c>
      <c r="F930" s="7" t="n">
        <v>0.13385997535007</v>
      </c>
    </row>
    <row r="931" customFormat="false" ht="15" hidden="false" customHeight="true" outlineLevel="0" collapsed="false">
      <c r="A931" s="5" t="s">
        <v>88</v>
      </c>
      <c r="B931" s="5" t="s">
        <v>79</v>
      </c>
      <c r="C931" s="5" t="s">
        <v>524</v>
      </c>
      <c r="D931" s="6" t="n">
        <v>0.00129270470012463</v>
      </c>
      <c r="E931" s="6" t="n">
        <v>0.000879779129956134</v>
      </c>
      <c r="F931" s="7" t="n">
        <v>0.141737500868968</v>
      </c>
    </row>
    <row r="932" customFormat="false" ht="15" hidden="false" customHeight="true" outlineLevel="0" collapsed="false">
      <c r="A932" s="5" t="s">
        <v>88</v>
      </c>
      <c r="B932" s="5" t="s">
        <v>79</v>
      </c>
      <c r="C932" s="5" t="s">
        <v>525</v>
      </c>
      <c r="D932" s="6" t="n">
        <v>0.00128831821969346</v>
      </c>
      <c r="E932" s="6" t="n">
        <v>0.000879918070185483</v>
      </c>
      <c r="F932" s="7" t="n">
        <v>0.143157259592594</v>
      </c>
    </row>
    <row r="933" customFormat="false" ht="15" hidden="false" customHeight="true" outlineLevel="0" collapsed="false">
      <c r="A933" s="5" t="s">
        <v>88</v>
      </c>
      <c r="B933" s="5" t="s">
        <v>79</v>
      </c>
      <c r="C933" s="5" t="s">
        <v>526</v>
      </c>
      <c r="D933" s="6" t="n">
        <v>0.00131464822926452</v>
      </c>
      <c r="E933" s="6" t="n">
        <v>0.000881211987561847</v>
      </c>
      <c r="F933" s="7" t="n">
        <v>0.135734864779434</v>
      </c>
    </row>
    <row r="934" customFormat="false" ht="15" hidden="false" customHeight="true" outlineLevel="0" collapsed="false">
      <c r="A934" s="5" t="s">
        <v>88</v>
      </c>
      <c r="B934" s="5" t="s">
        <v>79</v>
      </c>
      <c r="C934" s="5" t="s">
        <v>527</v>
      </c>
      <c r="D934" s="6" t="n">
        <v>0.00137946415178996</v>
      </c>
      <c r="E934" s="6" t="n">
        <v>0.000880743860344423</v>
      </c>
      <c r="F934" s="7" t="n">
        <v>0.117290345721552</v>
      </c>
    </row>
    <row r="935" customFormat="false" ht="15" hidden="false" customHeight="true" outlineLevel="0" collapsed="false">
      <c r="A935" s="5" t="s">
        <v>88</v>
      </c>
      <c r="B935" s="5" t="s">
        <v>79</v>
      </c>
      <c r="C935" s="5" t="s">
        <v>528</v>
      </c>
      <c r="D935" s="6" t="n">
        <v>0.00135184549282399</v>
      </c>
      <c r="E935" s="6" t="n">
        <v>0.000879082527493746</v>
      </c>
      <c r="F935" s="7" t="n">
        <v>0.124099643117216</v>
      </c>
    </row>
    <row r="936" customFormat="false" ht="15" hidden="false" customHeight="true" outlineLevel="0" collapsed="false">
      <c r="A936" s="5" t="s">
        <v>88</v>
      </c>
      <c r="B936" s="5" t="s">
        <v>79</v>
      </c>
      <c r="C936" s="5" t="s">
        <v>529</v>
      </c>
      <c r="D936" s="6" t="n">
        <v>0.00127770516310157</v>
      </c>
      <c r="E936" s="6" t="n">
        <v>0.000880062880076908</v>
      </c>
      <c r="F936" s="7" t="n">
        <v>0.14654778288399</v>
      </c>
    </row>
    <row r="937" customFormat="false" ht="15" hidden="false" customHeight="true" outlineLevel="0" collapsed="false">
      <c r="A937" s="5" t="s">
        <v>88</v>
      </c>
      <c r="B937" s="5" t="s">
        <v>79</v>
      </c>
      <c r="C937" s="5" t="s">
        <v>530</v>
      </c>
      <c r="D937" s="6" t="n">
        <v>0.00126261530269427</v>
      </c>
      <c r="E937" s="6" t="n">
        <v>0.000879710809781856</v>
      </c>
      <c r="F937" s="7" t="n">
        <v>0.151212514597404</v>
      </c>
    </row>
    <row r="938" customFormat="false" ht="15" hidden="false" customHeight="true" outlineLevel="0" collapsed="false">
      <c r="A938" s="5" t="s">
        <v>88</v>
      </c>
      <c r="B938" s="5" t="s">
        <v>79</v>
      </c>
      <c r="C938" s="5" t="s">
        <v>531</v>
      </c>
      <c r="D938" s="6" t="n">
        <v>0.00127824582190724</v>
      </c>
      <c r="E938" s="6" t="n">
        <v>0.000880564831755497</v>
      </c>
      <c r="F938" s="7" t="n">
        <v>0.146607199506487</v>
      </c>
    </row>
    <row r="939" customFormat="false" ht="15" hidden="false" customHeight="true" outlineLevel="0" collapsed="false">
      <c r="A939" s="5" t="s">
        <v>88</v>
      </c>
      <c r="B939" s="5" t="s">
        <v>79</v>
      </c>
      <c r="C939" s="5" t="s">
        <v>532</v>
      </c>
      <c r="D939" s="6" t="n">
        <v>0.00129171606261462</v>
      </c>
      <c r="E939" s="6" t="n">
        <v>0.000879948096199657</v>
      </c>
      <c r="F939" s="7" t="n">
        <v>0.142118961258377</v>
      </c>
    </row>
    <row r="940" customFormat="false" ht="15" hidden="false" customHeight="true" outlineLevel="0" collapsed="false">
      <c r="A940" s="5" t="s">
        <v>88</v>
      </c>
      <c r="B940" s="5" t="s">
        <v>79</v>
      </c>
      <c r="C940" s="5" t="s">
        <v>533</v>
      </c>
      <c r="D940" s="6" t="n">
        <v>0.00128001281439207</v>
      </c>
      <c r="E940" s="6" t="n">
        <v>0.000879746169986642</v>
      </c>
      <c r="F940" s="7" t="n">
        <v>0.14567488278664</v>
      </c>
    </row>
    <row r="941" customFormat="false" ht="15" hidden="false" customHeight="true" outlineLevel="0" collapsed="false">
      <c r="A941" s="5" t="s">
        <v>88</v>
      </c>
      <c r="B941" s="5" t="s">
        <v>79</v>
      </c>
      <c r="C941" s="5" t="s">
        <v>534</v>
      </c>
      <c r="D941" s="6" t="n">
        <v>0.00122581357945496</v>
      </c>
      <c r="E941" s="6" t="n">
        <v>0.00087638639763258</v>
      </c>
      <c r="F941" s="7" t="n">
        <v>0.161898882141909</v>
      </c>
    </row>
    <row r="942" customFormat="false" ht="15" hidden="false" customHeight="true" outlineLevel="0" collapsed="false">
      <c r="A942" s="5" t="s">
        <v>88</v>
      </c>
      <c r="B942" s="5" t="s">
        <v>79</v>
      </c>
      <c r="C942" s="5" t="s">
        <v>535</v>
      </c>
      <c r="D942" s="6" t="n">
        <v>0.00129375520234449</v>
      </c>
      <c r="E942" s="6" t="n">
        <v>0.000879826315706374</v>
      </c>
      <c r="F942" s="7" t="n">
        <v>0.141435427859571</v>
      </c>
    </row>
    <row r="943" customFormat="false" ht="15" hidden="false" customHeight="true" outlineLevel="0" collapsed="false">
      <c r="A943" s="5" t="s">
        <v>88</v>
      </c>
      <c r="B943" s="5" t="s">
        <v>79</v>
      </c>
      <c r="C943" s="5" t="s">
        <v>536</v>
      </c>
      <c r="D943" s="6" t="n">
        <v>0.0012935768810322</v>
      </c>
      <c r="E943" s="6" t="n">
        <v>0.000879703031379643</v>
      </c>
      <c r="F943" s="7" t="n">
        <v>0.141434515901668</v>
      </c>
    </row>
    <row r="944" customFormat="false" ht="15" hidden="false" customHeight="true" outlineLevel="0" collapsed="false">
      <c r="A944" s="5" t="s">
        <v>88</v>
      </c>
      <c r="B944" s="5" t="s">
        <v>79</v>
      </c>
      <c r="C944" s="5" t="s">
        <v>537</v>
      </c>
      <c r="D944" s="6" t="n">
        <v>0.00135189480618299</v>
      </c>
      <c r="E944" s="6" t="n">
        <v>0.000877634650840082</v>
      </c>
      <c r="F944" s="7" t="n">
        <v>0.123466659184262</v>
      </c>
    </row>
    <row r="945" customFormat="false" ht="15" hidden="false" customHeight="true" outlineLevel="0" collapsed="false">
      <c r="A945" s="5" t="s">
        <v>88</v>
      </c>
      <c r="B945" s="5" t="s">
        <v>79</v>
      </c>
      <c r="C945" s="5" t="s">
        <v>538</v>
      </c>
      <c r="D945" s="6" t="n">
        <v>0.00125919626866947</v>
      </c>
      <c r="E945" s="6" t="n">
        <v>0.00087991261492528</v>
      </c>
      <c r="F945" s="7" t="n">
        <v>0.152416758203023</v>
      </c>
    </row>
    <row r="946" customFormat="false" ht="15" hidden="false" customHeight="true" outlineLevel="0" collapsed="false">
      <c r="A946" s="5" t="s">
        <v>88</v>
      </c>
      <c r="B946" s="5" t="s">
        <v>79</v>
      </c>
      <c r="C946" s="5" t="s">
        <v>539</v>
      </c>
      <c r="D946" s="6" t="n">
        <v>0.00130503817610278</v>
      </c>
      <c r="E946" s="6" t="n">
        <v>0.000880321185053848</v>
      </c>
      <c r="F946" s="7" t="n">
        <v>0.138218775318622</v>
      </c>
    </row>
    <row r="947" customFormat="false" ht="15" hidden="false" customHeight="true" outlineLevel="0" collapsed="false">
      <c r="A947" s="5" t="s">
        <v>88</v>
      </c>
      <c r="B947" s="5" t="s">
        <v>79</v>
      </c>
      <c r="C947" s="5" t="s">
        <v>540</v>
      </c>
      <c r="D947" s="6" t="n">
        <v>0.00129560744407295</v>
      </c>
      <c r="E947" s="6" t="n">
        <v>0.000881090975283473</v>
      </c>
      <c r="F947" s="7" t="n">
        <v>0.141437700342683</v>
      </c>
    </row>
    <row r="948" customFormat="false" ht="15" hidden="false" customHeight="true" outlineLevel="0" collapsed="false">
      <c r="A948" s="5" t="s">
        <v>88</v>
      </c>
      <c r="B948" s="5" t="s">
        <v>79</v>
      </c>
      <c r="C948" s="5" t="s">
        <v>541</v>
      </c>
      <c r="D948" s="6" t="n">
        <v>0.00124786873097657</v>
      </c>
      <c r="E948" s="6" t="n">
        <v>0.000878172431910213</v>
      </c>
      <c r="F948" s="7" t="n">
        <v>0.155321491717626</v>
      </c>
    </row>
    <row r="949" customFormat="false" ht="15" hidden="false" customHeight="true" outlineLevel="0" collapsed="false">
      <c r="A949" s="5" t="s">
        <v>88</v>
      </c>
      <c r="B949" s="5" t="s">
        <v>79</v>
      </c>
      <c r="C949" s="5" t="s">
        <v>542</v>
      </c>
      <c r="D949" s="6" t="n">
        <v>0.00129333991782567</v>
      </c>
      <c r="E949" s="6" t="n">
        <v>0.000879774362254183</v>
      </c>
      <c r="F949" s="7" t="n">
        <v>0.141539711803225</v>
      </c>
    </row>
    <row r="950" customFormat="false" ht="15" hidden="false" customHeight="true" outlineLevel="0" collapsed="false">
      <c r="A950" s="5" t="s">
        <v>88</v>
      </c>
      <c r="B950" s="5" t="s">
        <v>79</v>
      </c>
      <c r="C950" s="5" t="s">
        <v>543</v>
      </c>
      <c r="D950" s="6" t="n">
        <v>0.00131323051143885</v>
      </c>
      <c r="E950" s="6" t="n">
        <v>0.000879732412457177</v>
      </c>
      <c r="F950" s="7" t="n">
        <v>0.135499677355774</v>
      </c>
    </row>
    <row r="951" customFormat="false" ht="15" hidden="false" customHeight="true" outlineLevel="0" collapsed="false">
      <c r="A951" s="5" t="s">
        <v>88</v>
      </c>
      <c r="B951" s="5" t="s">
        <v>79</v>
      </c>
      <c r="C951" s="5" t="s">
        <v>544</v>
      </c>
      <c r="D951" s="6" t="n">
        <v>0.0013629833987575</v>
      </c>
      <c r="E951" s="6" t="n">
        <v>0.000877380012261697</v>
      </c>
      <c r="F951" s="7" t="n">
        <v>0.120310926039461</v>
      </c>
    </row>
    <row r="952" customFormat="false" ht="15" hidden="false" customHeight="true" outlineLevel="0" collapsed="false">
      <c r="A952" s="5" t="s">
        <v>88</v>
      </c>
      <c r="B952" s="5" t="s">
        <v>79</v>
      </c>
      <c r="C952" s="5" t="s">
        <v>545</v>
      </c>
      <c r="D952" s="6" t="n">
        <v>0.00126388478804894</v>
      </c>
      <c r="E952" s="6" t="n">
        <v>0.000880211510949462</v>
      </c>
      <c r="F952" s="7" t="n">
        <v>0.15103432939505</v>
      </c>
    </row>
    <row r="953" customFormat="false" ht="15" hidden="false" customHeight="true" outlineLevel="0" collapsed="false">
      <c r="A953" s="5" t="s">
        <v>88</v>
      </c>
      <c r="B953" s="5" t="s">
        <v>79</v>
      </c>
      <c r="C953" s="5" t="s">
        <v>546</v>
      </c>
      <c r="D953" s="6" t="n">
        <v>0.00128260458762562</v>
      </c>
      <c r="E953" s="6" t="n">
        <v>0.000880010762863069</v>
      </c>
      <c r="F953" s="7" t="n">
        <v>0.144981890426957</v>
      </c>
    </row>
    <row r="954" customFormat="false" ht="15" hidden="false" customHeight="true" outlineLevel="0" collapsed="false">
      <c r="A954" s="5" t="s">
        <v>88</v>
      </c>
      <c r="B954" s="5" t="s">
        <v>79</v>
      </c>
      <c r="C954" s="5" t="s">
        <v>547</v>
      </c>
      <c r="D954" s="6" t="n">
        <v>0.00134040432310204</v>
      </c>
      <c r="E954" s="6" t="n">
        <v>0.000877655106380358</v>
      </c>
      <c r="F954" s="7" t="n">
        <v>0.126697282211708</v>
      </c>
    </row>
    <row r="955" customFormat="false" ht="15" hidden="false" customHeight="true" outlineLevel="0" collapsed="false">
      <c r="A955" s="5" t="s">
        <v>88</v>
      </c>
      <c r="B955" s="5" t="s">
        <v>79</v>
      </c>
      <c r="C955" s="5" t="s">
        <v>548</v>
      </c>
      <c r="D955" s="6" t="n">
        <v>0.00130256555718974</v>
      </c>
      <c r="E955" s="6" t="n">
        <v>0.000881582096843561</v>
      </c>
      <c r="F955" s="7" t="n">
        <v>0.139533148231591</v>
      </c>
    </row>
    <row r="956" customFormat="false" ht="15" hidden="false" customHeight="true" outlineLevel="0" collapsed="false">
      <c r="A956" s="5" t="s">
        <v>88</v>
      </c>
      <c r="B956" s="5" t="s">
        <v>79</v>
      </c>
      <c r="C956" s="5" t="s">
        <v>549</v>
      </c>
      <c r="D956" s="6" t="n">
        <v>0.00137351467135134</v>
      </c>
      <c r="E956" s="6" t="n">
        <v>0.000879714662878492</v>
      </c>
      <c r="F956" s="7" t="n">
        <v>0.118448649267929</v>
      </c>
    </row>
    <row r="957" customFormat="false" ht="15" hidden="false" customHeight="true" outlineLevel="0" collapsed="false">
      <c r="A957" s="5" t="s">
        <v>88</v>
      </c>
      <c r="B957" s="5" t="s">
        <v>79</v>
      </c>
      <c r="C957" s="5" t="s">
        <v>550</v>
      </c>
      <c r="D957" s="6" t="n">
        <v>0.00126199963571166</v>
      </c>
      <c r="E957" s="6" t="n">
        <v>0.000878800388854035</v>
      </c>
      <c r="F957" s="7" t="n">
        <v>0.150988652514193</v>
      </c>
    </row>
    <row r="958" customFormat="false" ht="15" hidden="false" customHeight="true" outlineLevel="0" collapsed="false">
      <c r="A958" s="5" t="s">
        <v>88</v>
      </c>
      <c r="B958" s="5" t="s">
        <v>79</v>
      </c>
      <c r="C958" s="5" t="s">
        <v>551</v>
      </c>
      <c r="D958" s="6" t="n">
        <v>0.00125364975186591</v>
      </c>
      <c r="E958" s="6" t="n">
        <v>0.000878559658499803</v>
      </c>
      <c r="F958" s="7" t="n">
        <v>0.153597900969683</v>
      </c>
    </row>
    <row r="959" customFormat="false" ht="15" hidden="false" customHeight="true" outlineLevel="0" collapsed="false">
      <c r="A959" s="5" t="s">
        <v>88</v>
      </c>
      <c r="B959" s="5" t="s">
        <v>79</v>
      </c>
      <c r="C959" s="5" t="s">
        <v>552</v>
      </c>
      <c r="D959" s="6" t="n">
        <v>0.0013620237864275</v>
      </c>
      <c r="E959" s="6" t="n">
        <v>0.000876959364873065</v>
      </c>
      <c r="F959" s="7" t="n">
        <v>0.120394289742403</v>
      </c>
    </row>
    <row r="960" customFormat="false" ht="15" hidden="false" customHeight="true" outlineLevel="0" collapsed="false">
      <c r="A960" s="5" t="s">
        <v>88</v>
      </c>
      <c r="B960" s="5" t="s">
        <v>79</v>
      </c>
      <c r="C960" s="5" t="s">
        <v>553</v>
      </c>
      <c r="D960" s="6" t="n">
        <v>0.00127730943940834</v>
      </c>
      <c r="E960" s="6" t="n">
        <v>0.000879746432563451</v>
      </c>
      <c r="F960" s="7" t="n">
        <v>0.14652764428339</v>
      </c>
    </row>
    <row r="961" customFormat="false" ht="15" hidden="false" customHeight="true" outlineLevel="0" collapsed="false">
      <c r="A961" s="5" t="s">
        <v>88</v>
      </c>
      <c r="B961" s="5" t="s">
        <v>79</v>
      </c>
      <c r="C961" s="5" t="s">
        <v>554</v>
      </c>
      <c r="D961" s="6" t="n">
        <v>0.00136587549570972</v>
      </c>
      <c r="E961" s="6" t="n">
        <v>0.000874749034687069</v>
      </c>
      <c r="F961" s="7" t="n">
        <v>0.118417985585958</v>
      </c>
    </row>
    <row r="962" customFormat="false" ht="15" hidden="false" customHeight="true" outlineLevel="0" collapsed="false">
      <c r="A962" s="5" t="s">
        <v>88</v>
      </c>
      <c r="B962" s="5" t="s">
        <v>79</v>
      </c>
      <c r="C962" s="5" t="s">
        <v>555</v>
      </c>
      <c r="D962" s="6" t="n">
        <v>0.00131245771099607</v>
      </c>
      <c r="E962" s="6" t="n">
        <v>0.000879102294265705</v>
      </c>
      <c r="F962" s="7" t="n">
        <v>0.135449697608816</v>
      </c>
    </row>
    <row r="963" customFormat="false" ht="15" hidden="false" customHeight="true" outlineLevel="0" collapsed="false">
      <c r="A963" s="5" t="s">
        <v>88</v>
      </c>
      <c r="B963" s="5" t="s">
        <v>79</v>
      </c>
      <c r="C963" s="5" t="s">
        <v>556</v>
      </c>
      <c r="D963" s="6" t="n">
        <v>0.0012582801585197</v>
      </c>
      <c r="E963" s="6" t="n">
        <v>0.000878794373315549</v>
      </c>
      <c r="F963" s="7" t="n">
        <v>0.152193778734176</v>
      </c>
    </row>
    <row r="964" customFormat="false" ht="15" hidden="false" customHeight="true" outlineLevel="0" collapsed="false">
      <c r="A964" s="5" t="s">
        <v>88</v>
      </c>
      <c r="B964" s="5" t="s">
        <v>79</v>
      </c>
      <c r="C964" s="5" t="s">
        <v>557</v>
      </c>
      <c r="D964" s="6" t="n">
        <v>0.00128112113864466</v>
      </c>
      <c r="E964" s="6" t="n">
        <v>0.000879739110116128</v>
      </c>
      <c r="F964" s="7" t="n">
        <v>0.145323189222884</v>
      </c>
    </row>
    <row r="965" customFormat="false" ht="15" hidden="false" customHeight="true" outlineLevel="0" collapsed="false">
      <c r="A965" s="5" t="s">
        <v>88</v>
      </c>
      <c r="B965" s="5" t="s">
        <v>79</v>
      </c>
      <c r="C965" s="5" t="s">
        <v>558</v>
      </c>
      <c r="D965" s="6" t="n">
        <v>0.00129871265717012</v>
      </c>
      <c r="E965" s="6" t="n">
        <v>0.000879648229652134</v>
      </c>
      <c r="F965" s="7" t="n">
        <v>0.13983653939095</v>
      </c>
    </row>
    <row r="966" customFormat="false" ht="15" hidden="false" customHeight="true" outlineLevel="0" collapsed="false">
      <c r="A966" s="5" t="s">
        <v>88</v>
      </c>
      <c r="B966" s="5" t="s">
        <v>79</v>
      </c>
      <c r="C966" s="5" t="s">
        <v>559</v>
      </c>
      <c r="D966" s="6" t="n">
        <v>0.001263626744313</v>
      </c>
      <c r="E966" s="6" t="n">
        <v>0.000879561302300841</v>
      </c>
      <c r="F966" s="7" t="n">
        <v>0.150815852929668</v>
      </c>
    </row>
    <row r="967" customFormat="false" ht="15" hidden="false" customHeight="true" outlineLevel="0" collapsed="false">
      <c r="A967" s="5" t="s">
        <v>88</v>
      </c>
      <c r="B967" s="5" t="s">
        <v>79</v>
      </c>
      <c r="C967" s="5" t="s">
        <v>560</v>
      </c>
      <c r="D967" s="6" t="n">
        <v>0.00124636893503463</v>
      </c>
      <c r="E967" s="6" t="n">
        <v>0.000878050612845088</v>
      </c>
      <c r="F967" s="7" t="n">
        <v>0.155761230262588</v>
      </c>
    </row>
    <row r="968" customFormat="false" ht="15" hidden="false" customHeight="true" outlineLevel="0" collapsed="false">
      <c r="A968" s="5" t="s">
        <v>88</v>
      </c>
      <c r="B968" s="5" t="s">
        <v>79</v>
      </c>
      <c r="C968" s="5" t="s">
        <v>561</v>
      </c>
      <c r="D968" s="6" t="n">
        <v>0.00128886419483387</v>
      </c>
      <c r="E968" s="6" t="n">
        <v>0.000880064238336004</v>
      </c>
      <c r="F968" s="7" t="n">
        <v>0.143054244158302</v>
      </c>
    </row>
    <row r="969" customFormat="false" ht="15" hidden="false" customHeight="true" outlineLevel="0" collapsed="false">
      <c r="A969" s="5" t="s">
        <v>88</v>
      </c>
      <c r="B969" s="5" t="s">
        <v>79</v>
      </c>
      <c r="C969" s="5" t="s">
        <v>562</v>
      </c>
      <c r="D969" s="6" t="n">
        <v>0.00132213306931812</v>
      </c>
      <c r="E969" s="6" t="n">
        <v>0.000879072919404663</v>
      </c>
      <c r="F969" s="7" t="n">
        <v>0.132579199694815</v>
      </c>
    </row>
    <row r="970" customFormat="false" ht="15" hidden="false" customHeight="true" outlineLevel="0" collapsed="false">
      <c r="A970" s="5" t="s">
        <v>88</v>
      </c>
      <c r="B970" s="5" t="s">
        <v>79</v>
      </c>
      <c r="C970" s="5" t="s">
        <v>563</v>
      </c>
      <c r="D970" s="6" t="n">
        <v>0.00129117144916574</v>
      </c>
      <c r="E970" s="6" t="n">
        <v>0.000880044134599554</v>
      </c>
      <c r="F970" s="7" t="n">
        <v>0.142330713061969</v>
      </c>
    </row>
    <row r="971" customFormat="false" ht="15" hidden="false" customHeight="true" outlineLevel="0" collapsed="false">
      <c r="A971" s="5" t="s">
        <v>88</v>
      </c>
      <c r="B971" s="5" t="s">
        <v>79</v>
      </c>
      <c r="C971" s="5" t="s">
        <v>783</v>
      </c>
      <c r="D971" s="6" t="n">
        <v>0.00130932130683608</v>
      </c>
      <c r="E971" s="6" t="n">
        <v>0.000880082384116999</v>
      </c>
      <c r="F971" s="7" t="n">
        <v>0.136823209348681</v>
      </c>
    </row>
    <row r="972" customFormat="false" ht="15" hidden="false" customHeight="true" outlineLevel="0" collapsed="false">
      <c r="A972" s="5" t="s">
        <v>88</v>
      </c>
      <c r="B972" s="5" t="s">
        <v>79</v>
      </c>
      <c r="C972" s="5" t="s">
        <v>564</v>
      </c>
      <c r="D972" s="6" t="n">
        <v>0.0012496710057333</v>
      </c>
      <c r="E972" s="6" t="n">
        <v>0.000878582436688684</v>
      </c>
      <c r="F972" s="7" t="n">
        <v>0.154918304282299</v>
      </c>
    </row>
    <row r="973" customFormat="false" ht="15" hidden="false" customHeight="true" outlineLevel="0" collapsed="false">
      <c r="A973" s="5" t="s">
        <v>88</v>
      </c>
      <c r="B973" s="5" t="s">
        <v>79</v>
      </c>
      <c r="C973" s="5" t="s">
        <v>565</v>
      </c>
      <c r="D973" s="6" t="n">
        <v>0.00130461469452259</v>
      </c>
      <c r="E973" s="6" t="n">
        <v>0.000879927657523593</v>
      </c>
      <c r="F973" s="7" t="n">
        <v>0.138170460586088</v>
      </c>
    </row>
    <row r="974" customFormat="false" ht="15" hidden="false" customHeight="true" outlineLevel="0" collapsed="false">
      <c r="A974" s="5" t="s">
        <v>88</v>
      </c>
      <c r="B974" s="5" t="s">
        <v>79</v>
      </c>
      <c r="C974" s="5" t="s">
        <v>566</v>
      </c>
      <c r="D974" s="6" t="n">
        <v>0.00127080948343755</v>
      </c>
      <c r="E974" s="6" t="n">
        <v>0.000879955801718068</v>
      </c>
      <c r="F974" s="7" t="n">
        <v>0.148689974728261</v>
      </c>
    </row>
    <row r="975" customFormat="false" ht="15" hidden="false" customHeight="true" outlineLevel="0" collapsed="false">
      <c r="A975" s="5" t="s">
        <v>88</v>
      </c>
      <c r="B975" s="5" t="s">
        <v>79</v>
      </c>
      <c r="C975" s="5" t="s">
        <v>567</v>
      </c>
      <c r="D975" s="6" t="n">
        <v>0.0012807494447326</v>
      </c>
      <c r="E975" s="6" t="n">
        <v>0.000879658014246465</v>
      </c>
      <c r="F975" s="7" t="n">
        <v>0.145402872280866</v>
      </c>
    </row>
    <row r="976" customFormat="false" ht="15" hidden="false" customHeight="true" outlineLevel="0" collapsed="false">
      <c r="A976" s="5" t="s">
        <v>88</v>
      </c>
      <c r="B976" s="5" t="s">
        <v>79</v>
      </c>
      <c r="C976" s="5" t="s">
        <v>568</v>
      </c>
      <c r="D976" s="6" t="n">
        <v>0.00129158738271328</v>
      </c>
      <c r="E976" s="6" t="n">
        <v>0.000879778341416755</v>
      </c>
      <c r="F976" s="7" t="n">
        <v>0.142081754094216</v>
      </c>
    </row>
    <row r="977" customFormat="false" ht="15" hidden="false" customHeight="true" outlineLevel="0" collapsed="false">
      <c r="A977" s="5" t="s">
        <v>88</v>
      </c>
      <c r="B977" s="5" t="s">
        <v>79</v>
      </c>
      <c r="C977" s="5" t="s">
        <v>569</v>
      </c>
      <c r="D977" s="6" t="n">
        <v>0.00123195647685572</v>
      </c>
      <c r="E977" s="6" t="n">
        <v>0.000878720576725535</v>
      </c>
      <c r="F977" s="7" t="n">
        <v>0.160918567458278</v>
      </c>
    </row>
    <row r="978" customFormat="false" ht="15" hidden="false" customHeight="true" outlineLevel="0" collapsed="false">
      <c r="A978" s="5" t="s">
        <v>88</v>
      </c>
      <c r="B978" s="5" t="s">
        <v>79</v>
      </c>
      <c r="C978" s="5" t="s">
        <v>570</v>
      </c>
      <c r="D978" s="6" t="n">
        <v>0.00127773698022375</v>
      </c>
      <c r="E978" s="6" t="n">
        <v>0.000880365495198463</v>
      </c>
      <c r="F978" s="7" t="n">
        <v>0.146676570660116</v>
      </c>
    </row>
    <row r="979" customFormat="false" ht="15" hidden="false" customHeight="true" outlineLevel="0" collapsed="false">
      <c r="A979" s="5" t="s">
        <v>88</v>
      </c>
      <c r="B979" s="5" t="s">
        <v>79</v>
      </c>
      <c r="C979" s="5" t="s">
        <v>571</v>
      </c>
      <c r="D979" s="6" t="n">
        <v>0.00130387573149322</v>
      </c>
      <c r="E979" s="6" t="n">
        <v>0.000879597150321209</v>
      </c>
      <c r="F979" s="7" t="n">
        <v>0.138245710460197</v>
      </c>
    </row>
    <row r="980" customFormat="false" ht="15" hidden="false" customHeight="true" outlineLevel="0" collapsed="false">
      <c r="A980" s="5" t="s">
        <v>88</v>
      </c>
      <c r="B980" s="5" t="s">
        <v>79</v>
      </c>
      <c r="C980" s="5" t="s">
        <v>572</v>
      </c>
      <c r="D980" s="6" t="n">
        <v>0.00127560454912291</v>
      </c>
      <c r="E980" s="6" t="n">
        <v>0.000879654614402992</v>
      </c>
      <c r="F980" s="7" t="n">
        <v>0.147025122285855</v>
      </c>
    </row>
    <row r="981" customFormat="false" ht="15" hidden="false" customHeight="true" outlineLevel="0" collapsed="false">
      <c r="A981" s="5" t="s">
        <v>88</v>
      </c>
      <c r="B981" s="5" t="s">
        <v>79</v>
      </c>
      <c r="C981" s="5" t="s">
        <v>573</v>
      </c>
      <c r="D981" s="6" t="n">
        <v>0.00124362800715181</v>
      </c>
      <c r="E981" s="6" t="n">
        <v>0.000878715632042566</v>
      </c>
      <c r="F981" s="7" t="n">
        <v>0.156986634240903</v>
      </c>
    </row>
    <row r="982" customFormat="false" ht="15" hidden="false" customHeight="true" outlineLevel="0" collapsed="false">
      <c r="A982" s="5" t="s">
        <v>88</v>
      </c>
      <c r="B982" s="5" t="s">
        <v>79</v>
      </c>
      <c r="C982" s="5" t="s">
        <v>574</v>
      </c>
      <c r="D982" s="6" t="n">
        <v>0.00127802825339622</v>
      </c>
      <c r="E982" s="6" t="n">
        <v>0.000879612710437563</v>
      </c>
      <c r="F982" s="7" t="n">
        <v>0.146239226159111</v>
      </c>
    </row>
    <row r="983" customFormat="false" ht="15" hidden="false" customHeight="true" outlineLevel="0" collapsed="false">
      <c r="A983" s="5" t="s">
        <v>88</v>
      </c>
      <c r="B983" s="5" t="s">
        <v>79</v>
      </c>
      <c r="C983" s="5" t="s">
        <v>575</v>
      </c>
      <c r="D983" s="6" t="n">
        <v>0.00128232404489697</v>
      </c>
      <c r="E983" s="6" t="n">
        <v>0.000880145995917995</v>
      </c>
      <c r="F983" s="7" t="n">
        <v>0.145131645461132</v>
      </c>
    </row>
    <row r="984" customFormat="false" ht="15" hidden="false" customHeight="true" outlineLevel="0" collapsed="false">
      <c r="A984" s="5" t="s">
        <v>88</v>
      </c>
      <c r="B984" s="5" t="s">
        <v>79</v>
      </c>
      <c r="C984" s="5" t="s">
        <v>576</v>
      </c>
      <c r="D984" s="6" t="n">
        <v>0.00130410299408422</v>
      </c>
      <c r="E984" s="6" t="n">
        <v>0.00088159916841168</v>
      </c>
      <c r="F984" s="7" t="n">
        <v>0.139074291319303</v>
      </c>
    </row>
    <row r="985" customFormat="false" ht="15" hidden="false" customHeight="true" outlineLevel="0" collapsed="false">
      <c r="A985" s="5" t="s">
        <v>88</v>
      </c>
      <c r="B985" s="5" t="s">
        <v>79</v>
      </c>
      <c r="C985" s="5" t="s">
        <v>784</v>
      </c>
      <c r="D985" s="6" t="n">
        <v>0.00132966175349585</v>
      </c>
      <c r="E985" s="6" t="n">
        <v>0.000878501102098849</v>
      </c>
      <c r="F985" s="7" t="n">
        <v>0.130138158699216</v>
      </c>
    </row>
    <row r="986" customFormat="false" ht="15" hidden="false" customHeight="true" outlineLevel="0" collapsed="false">
      <c r="A986" s="5" t="s">
        <v>88</v>
      </c>
      <c r="B986" s="5" t="s">
        <v>79</v>
      </c>
      <c r="C986" s="5" t="s">
        <v>577</v>
      </c>
      <c r="D986" s="6" t="n">
        <v>0.00126343103825353</v>
      </c>
      <c r="E986" s="6" t="n">
        <v>0.000878909268916975</v>
      </c>
      <c r="F986" s="7" t="n">
        <v>0.15057630745418</v>
      </c>
    </row>
    <row r="987" customFormat="false" ht="15" hidden="false" customHeight="true" outlineLevel="0" collapsed="false">
      <c r="A987" s="5" t="s">
        <v>88</v>
      </c>
      <c r="B987" s="5" t="s">
        <v>79</v>
      </c>
      <c r="C987" s="5" t="s">
        <v>578</v>
      </c>
      <c r="D987" s="6" t="n">
        <v>0.00132057478791106</v>
      </c>
      <c r="E987" s="6" t="n">
        <v>0.000878907529354915</v>
      </c>
      <c r="F987" s="7" t="n">
        <v>0.132963264008615</v>
      </c>
    </row>
    <row r="988" customFormat="false" ht="15" hidden="false" customHeight="true" outlineLevel="0" collapsed="false">
      <c r="A988" s="5" t="s">
        <v>88</v>
      </c>
      <c r="B988" s="5" t="s">
        <v>79</v>
      </c>
      <c r="C988" s="5" t="s">
        <v>579</v>
      </c>
      <c r="D988" s="6" t="n">
        <v>0.00132383321742051</v>
      </c>
      <c r="E988" s="6" t="n">
        <v>0.000878729583213631</v>
      </c>
      <c r="F988" s="7" t="n">
        <v>0.131930956261921</v>
      </c>
    </row>
    <row r="989" customFormat="false" ht="15" hidden="false" customHeight="true" outlineLevel="0" collapsed="false">
      <c r="A989" s="5" t="s">
        <v>88</v>
      </c>
      <c r="B989" s="5" t="s">
        <v>79</v>
      </c>
      <c r="C989" s="5" t="s">
        <v>580</v>
      </c>
      <c r="D989" s="6" t="n">
        <v>0.00127105456935917</v>
      </c>
      <c r="E989" s="6" t="n">
        <v>0.000879493114020312</v>
      </c>
      <c r="F989" s="7" t="n">
        <v>0.148398165726806</v>
      </c>
    </row>
    <row r="990" customFormat="false" ht="15" hidden="false" customHeight="true" outlineLevel="0" collapsed="false">
      <c r="A990" s="5" t="s">
        <v>88</v>
      </c>
      <c r="B990" s="5" t="s">
        <v>79</v>
      </c>
      <c r="C990" s="5" t="s">
        <v>581</v>
      </c>
      <c r="D990" s="6" t="n">
        <v>0.00128622803723631</v>
      </c>
      <c r="E990" s="6" t="n">
        <v>0.000879986193945041</v>
      </c>
      <c r="F990" s="7" t="n">
        <v>0.143838324021816</v>
      </c>
    </row>
    <row r="991" customFormat="false" ht="15" hidden="false" customHeight="true" outlineLevel="0" collapsed="false">
      <c r="A991" s="5" t="s">
        <v>88</v>
      </c>
      <c r="B991" s="5" t="s">
        <v>79</v>
      </c>
      <c r="C991" s="5" t="s">
        <v>582</v>
      </c>
      <c r="D991" s="6" t="n">
        <v>0.00128093763268977</v>
      </c>
      <c r="E991" s="6" t="n">
        <v>0.000881047580500726</v>
      </c>
      <c r="F991" s="7" t="n">
        <v>0.145979523136787</v>
      </c>
    </row>
    <row r="992" customFormat="false" ht="15" hidden="false" customHeight="true" outlineLevel="0" collapsed="false">
      <c r="A992" s="5" t="s">
        <v>88</v>
      </c>
      <c r="B992" s="5" t="s">
        <v>79</v>
      </c>
      <c r="C992" s="5" t="s">
        <v>583</v>
      </c>
      <c r="D992" s="6" t="n">
        <v>0.00128482831580671</v>
      </c>
      <c r="E992" s="6" t="n">
        <v>0.000879725003292078</v>
      </c>
      <c r="F992" s="7" t="n">
        <v>0.144155845446229</v>
      </c>
    </row>
    <row r="993" customFormat="false" ht="15" hidden="false" customHeight="true" outlineLevel="0" collapsed="false">
      <c r="A993" s="5" t="s">
        <v>88</v>
      </c>
      <c r="B993" s="5" t="s">
        <v>79</v>
      </c>
      <c r="C993" s="5" t="s">
        <v>584</v>
      </c>
      <c r="D993" s="6" t="n">
        <v>0.00126795527556446</v>
      </c>
      <c r="E993" s="6" t="n">
        <v>0.000879623995689002</v>
      </c>
      <c r="F993" s="7" t="n">
        <v>0.14945076743835</v>
      </c>
    </row>
    <row r="994" customFormat="false" ht="15" hidden="false" customHeight="true" outlineLevel="0" collapsed="false">
      <c r="A994" s="5" t="s">
        <v>88</v>
      </c>
      <c r="B994" s="5" t="s">
        <v>79</v>
      </c>
      <c r="C994" s="5" t="s">
        <v>585</v>
      </c>
      <c r="D994" s="6" t="n">
        <v>0.00130678856221161</v>
      </c>
      <c r="E994" s="6" t="n">
        <v>0.000879301503893326</v>
      </c>
      <c r="F994" s="7" t="n">
        <v>0.137235048900503</v>
      </c>
    </row>
    <row r="995" customFormat="false" ht="15" hidden="false" customHeight="true" outlineLevel="0" collapsed="false">
      <c r="A995" s="5" t="s">
        <v>88</v>
      </c>
      <c r="B995" s="5" t="s">
        <v>79</v>
      </c>
      <c r="C995" s="5" t="s">
        <v>586</v>
      </c>
      <c r="D995" s="6" t="n">
        <v>0.00129542906996565</v>
      </c>
      <c r="E995" s="6" t="n">
        <v>0.00088055062209684</v>
      </c>
      <c r="F995" s="7" t="n">
        <v>0.141248399407015</v>
      </c>
    </row>
    <row r="996" customFormat="false" ht="15" hidden="false" customHeight="true" outlineLevel="0" collapsed="false">
      <c r="A996" s="5" t="s">
        <v>88</v>
      </c>
      <c r="B996" s="5" t="s">
        <v>79</v>
      </c>
      <c r="C996" s="5" t="s">
        <v>587</v>
      </c>
      <c r="D996" s="6" t="n">
        <v>0.001271593956298</v>
      </c>
      <c r="E996" s="6" t="n">
        <v>0.000879698130689984</v>
      </c>
      <c r="F996" s="7" t="n">
        <v>0.148320585322188</v>
      </c>
    </row>
    <row r="997" customFormat="false" ht="15" hidden="false" customHeight="true" outlineLevel="0" collapsed="false">
      <c r="A997" s="5" t="s">
        <v>88</v>
      </c>
      <c r="B997" s="5" t="s">
        <v>79</v>
      </c>
      <c r="C997" s="5" t="s">
        <v>588</v>
      </c>
      <c r="D997" s="6" t="n">
        <v>0.00128968151794064</v>
      </c>
      <c r="E997" s="6" t="n">
        <v>0.000880291489769937</v>
      </c>
      <c r="F997" s="7" t="n">
        <v>0.142904031730701</v>
      </c>
    </row>
    <row r="998" customFormat="false" ht="15" hidden="false" customHeight="true" outlineLevel="0" collapsed="false">
      <c r="A998" s="5" t="s">
        <v>88</v>
      </c>
      <c r="B998" s="5" t="s">
        <v>79</v>
      </c>
      <c r="C998" s="5" t="s">
        <v>589</v>
      </c>
      <c r="D998" s="6" t="n">
        <v>0.00127100248986375</v>
      </c>
      <c r="E998" s="6" t="n">
        <v>0.000880031584492949</v>
      </c>
      <c r="F998" s="7" t="n">
        <v>0.148663273286245</v>
      </c>
    </row>
    <row r="999" customFormat="false" ht="15" hidden="false" customHeight="true" outlineLevel="0" collapsed="false">
      <c r="A999" s="5" t="s">
        <v>88</v>
      </c>
      <c r="B999" s="5" t="s">
        <v>79</v>
      </c>
      <c r="C999" s="5" t="s">
        <v>590</v>
      </c>
      <c r="D999" s="6" t="n">
        <v>0.00133038303744412</v>
      </c>
      <c r="E999" s="6" t="n">
        <v>0.000878270252339963</v>
      </c>
      <c r="F999" s="7" t="n">
        <v>0.129829042881029</v>
      </c>
    </row>
    <row r="1000" customFormat="false" ht="15" hidden="false" customHeight="true" outlineLevel="0" collapsed="false">
      <c r="A1000" s="5" t="s">
        <v>88</v>
      </c>
      <c r="B1000" s="5" t="s">
        <v>79</v>
      </c>
      <c r="C1000" s="5" t="s">
        <v>591</v>
      </c>
      <c r="D1000" s="6" t="n">
        <v>0.00125797453538895</v>
      </c>
      <c r="E1000" s="6" t="n">
        <v>0.000878819719463618</v>
      </c>
      <c r="F1000" s="7" t="n">
        <v>0.152305182483119</v>
      </c>
    </row>
    <row r="1001" customFormat="false" ht="15" hidden="false" customHeight="true" outlineLevel="0" collapsed="false">
      <c r="A1001" s="5" t="s">
        <v>88</v>
      </c>
      <c r="B1001" s="5" t="s">
        <v>79</v>
      </c>
      <c r="C1001" s="5" t="s">
        <v>592</v>
      </c>
      <c r="D1001" s="6" t="n">
        <v>0.0012335237252816</v>
      </c>
      <c r="E1001" s="6" t="n">
        <v>0.000877779707947635</v>
      </c>
      <c r="F1001" s="7" t="n">
        <v>0.159938894236245</v>
      </c>
    </row>
    <row r="1002" customFormat="false" ht="15" hidden="false" customHeight="true" outlineLevel="0" collapsed="false">
      <c r="A1002" s="5" t="s">
        <v>88</v>
      </c>
      <c r="B1002" s="5" t="s">
        <v>79</v>
      </c>
      <c r="C1002" s="5" t="s">
        <v>593</v>
      </c>
      <c r="D1002" s="6" t="n">
        <v>0.00126435410696313</v>
      </c>
      <c r="E1002" s="6" t="n">
        <v>0.000879026972089073</v>
      </c>
      <c r="F1002" s="7" t="n">
        <v>0.150332945199265</v>
      </c>
    </row>
    <row r="1003" customFormat="false" ht="15" hidden="false" customHeight="true" outlineLevel="0" collapsed="false">
      <c r="A1003" s="5" t="s">
        <v>88</v>
      </c>
      <c r="B1003" s="5" t="s">
        <v>79</v>
      </c>
      <c r="C1003" s="5" t="s">
        <v>594</v>
      </c>
      <c r="D1003" s="6" t="n">
        <v>0.00125126614865667</v>
      </c>
      <c r="E1003" s="6" t="n">
        <v>0.000878613754899269</v>
      </c>
      <c r="F1003" s="7" t="n">
        <v>0.15440688623497</v>
      </c>
    </row>
    <row r="1004" customFormat="false" ht="15" hidden="false" customHeight="true" outlineLevel="0" collapsed="false">
      <c r="A1004" s="5" t="s">
        <v>88</v>
      </c>
      <c r="B1004" s="5" t="s">
        <v>79</v>
      </c>
      <c r="C1004" s="5" t="s">
        <v>595</v>
      </c>
      <c r="D1004" s="6" t="n">
        <v>0.00128419388040751</v>
      </c>
      <c r="E1004" s="6" t="n">
        <v>0.000879714831346685</v>
      </c>
      <c r="F1004" s="7" t="n">
        <v>0.144349370658793</v>
      </c>
    </row>
    <row r="1005" customFormat="false" ht="15" hidden="false" customHeight="true" outlineLevel="0" collapsed="false">
      <c r="A1005" s="5" t="s">
        <v>88</v>
      </c>
      <c r="B1005" s="5" t="s">
        <v>79</v>
      </c>
      <c r="C1005" s="5" t="s">
        <v>596</v>
      </c>
      <c r="D1005" s="6" t="n">
        <v>0.00131927749815776</v>
      </c>
      <c r="E1005" s="6" t="n">
        <v>0.000879257094687645</v>
      </c>
      <c r="F1005" s="7" t="n">
        <v>0.133498997608342</v>
      </c>
    </row>
    <row r="1006" customFormat="false" ht="15" hidden="false" customHeight="true" outlineLevel="0" collapsed="false">
      <c r="A1006" s="5" t="s">
        <v>88</v>
      </c>
      <c r="B1006" s="5" t="s">
        <v>79</v>
      </c>
      <c r="C1006" s="5" t="s">
        <v>597</v>
      </c>
      <c r="D1006" s="6" t="n">
        <v>0.00129437063439734</v>
      </c>
      <c r="E1006" s="6" t="n">
        <v>0.000879745979418403</v>
      </c>
      <c r="F1006" s="7" t="n">
        <v>0.141209888138464</v>
      </c>
    </row>
    <row r="1007" customFormat="false" ht="15" hidden="false" customHeight="true" outlineLevel="0" collapsed="false">
      <c r="A1007" s="5" t="s">
        <v>88</v>
      </c>
      <c r="B1007" s="5" t="s">
        <v>79</v>
      </c>
      <c r="C1007" s="5" t="s">
        <v>598</v>
      </c>
      <c r="D1007" s="6" t="n">
        <v>0.00130997455612959</v>
      </c>
      <c r="E1007" s="6" t="n">
        <v>0.000880483261412464</v>
      </c>
      <c r="F1007" s="7" t="n">
        <v>0.13680617445834</v>
      </c>
    </row>
    <row r="1008" customFormat="false" ht="15" hidden="false" customHeight="true" outlineLevel="0" collapsed="false">
      <c r="A1008" s="5" t="s">
        <v>88</v>
      </c>
      <c r="B1008" s="5" t="s">
        <v>79</v>
      </c>
      <c r="C1008" s="5" t="s">
        <v>599</v>
      </c>
      <c r="D1008" s="6" t="n">
        <v>0.00128722448120396</v>
      </c>
      <c r="E1008" s="6" t="n">
        <v>0.000879720427828367</v>
      </c>
      <c r="F1008" s="7" t="n">
        <v>0.143407203313288</v>
      </c>
    </row>
    <row r="1009" customFormat="false" ht="15" hidden="false" customHeight="true" outlineLevel="0" collapsed="false">
      <c r="A1009" s="5" t="s">
        <v>88</v>
      </c>
      <c r="B1009" s="5" t="s">
        <v>79</v>
      </c>
      <c r="C1009" s="5" t="s">
        <v>600</v>
      </c>
      <c r="D1009" s="6" t="n">
        <v>0.00127502254641368</v>
      </c>
      <c r="E1009" s="6" t="n">
        <v>0.000880547520196459</v>
      </c>
      <c r="F1009" s="7" t="n">
        <v>0.147620310194287</v>
      </c>
    </row>
    <row r="1010" customFormat="false" ht="15" hidden="false" customHeight="true" outlineLevel="0" collapsed="false">
      <c r="A1010" s="5" t="s">
        <v>88</v>
      </c>
      <c r="B1010" s="5" t="s">
        <v>79</v>
      </c>
      <c r="C1010" s="5" t="s">
        <v>601</v>
      </c>
      <c r="D1010" s="6" t="n">
        <v>0.00131268510068397</v>
      </c>
      <c r="E1010" s="6" t="n">
        <v>0.000879172997077406</v>
      </c>
      <c r="F1010" s="7" t="n">
        <v>0.135413424262499</v>
      </c>
    </row>
    <row r="1011" customFormat="false" ht="15" hidden="false" customHeight="true" outlineLevel="0" collapsed="false">
      <c r="A1011" s="5" t="s">
        <v>88</v>
      </c>
      <c r="B1011" s="5" t="s">
        <v>79</v>
      </c>
      <c r="C1011" s="5" t="s">
        <v>602</v>
      </c>
      <c r="D1011" s="6" t="n">
        <v>0.00129677421114192</v>
      </c>
      <c r="E1011" s="6" t="n">
        <v>0.00087963828809487</v>
      </c>
      <c r="F1011" s="7" t="n">
        <v>0.140424247214276</v>
      </c>
    </row>
    <row r="1012" customFormat="false" ht="15" hidden="false" customHeight="true" outlineLevel="0" collapsed="false">
      <c r="A1012" s="5" t="s">
        <v>88</v>
      </c>
      <c r="B1012" s="5" t="s">
        <v>79</v>
      </c>
      <c r="C1012" s="5" t="s">
        <v>603</v>
      </c>
      <c r="D1012" s="6" t="n">
        <v>0.00126204797332191</v>
      </c>
      <c r="E1012" s="6" t="n">
        <v>0.000879005512393568</v>
      </c>
      <c r="F1012" s="7" t="n">
        <v>0.15106837259285</v>
      </c>
    </row>
    <row r="1013" customFormat="false" ht="15" hidden="false" customHeight="true" outlineLevel="0" collapsed="false">
      <c r="A1013" s="5" t="s">
        <v>88</v>
      </c>
      <c r="B1013" s="5" t="s">
        <v>79</v>
      </c>
      <c r="C1013" s="5" t="s">
        <v>604</v>
      </c>
      <c r="D1013" s="6" t="n">
        <v>0.00127491144524704</v>
      </c>
      <c r="E1013" s="6" t="n">
        <v>0.000880355278210228</v>
      </c>
      <c r="F1013" s="7" t="n">
        <v>0.147567180655974</v>
      </c>
    </row>
    <row r="1014" customFormat="false" ht="15" hidden="false" customHeight="true" outlineLevel="0" collapsed="false">
      <c r="A1014" s="5" t="s">
        <v>88</v>
      </c>
      <c r="B1014" s="5" t="s">
        <v>79</v>
      </c>
      <c r="C1014" s="5" t="s">
        <v>605</v>
      </c>
      <c r="D1014" s="6" t="n">
        <v>0.00128590111205657</v>
      </c>
      <c r="E1014" s="6" t="n">
        <v>0.000879895726360771</v>
      </c>
      <c r="F1014" s="7" t="n">
        <v>0.143898999844504</v>
      </c>
    </row>
    <row r="1015" customFormat="false" ht="15" hidden="false" customHeight="true" outlineLevel="0" collapsed="false">
      <c r="A1015" s="5" t="s">
        <v>88</v>
      </c>
      <c r="B1015" s="5" t="s">
        <v>79</v>
      </c>
      <c r="C1015" s="5" t="s">
        <v>606</v>
      </c>
      <c r="D1015" s="6" t="n">
        <v>0.00129204040240014</v>
      </c>
      <c r="E1015" s="6" t="n">
        <v>0.000880118674248285</v>
      </c>
      <c r="F1015" s="7" t="n">
        <v>0.142096140435632</v>
      </c>
    </row>
    <row r="1016" customFormat="false" ht="15" hidden="false" customHeight="true" outlineLevel="0" collapsed="false">
      <c r="A1016" s="5" t="s">
        <v>88</v>
      </c>
      <c r="B1016" s="5" t="s">
        <v>79</v>
      </c>
      <c r="C1016" s="5" t="s">
        <v>607</v>
      </c>
      <c r="D1016" s="6" t="n">
        <v>0.00121111786929609</v>
      </c>
      <c r="E1016" s="6" t="n">
        <v>0.00087982826959573</v>
      </c>
      <c r="F1016" s="7" t="n">
        <v>0.168654841692191</v>
      </c>
    </row>
    <row r="1017" customFormat="false" ht="15" hidden="false" customHeight="true" outlineLevel="0" collapsed="false">
      <c r="A1017" s="5" t="s">
        <v>88</v>
      </c>
      <c r="B1017" s="5" t="s">
        <v>79</v>
      </c>
      <c r="C1017" s="5" t="s">
        <v>608</v>
      </c>
      <c r="D1017" s="6" t="n">
        <v>0.00125469081168311</v>
      </c>
      <c r="E1017" s="6" t="n">
        <v>0.000878706168467073</v>
      </c>
      <c r="F1017" s="7" t="n">
        <v>0.153325140524907</v>
      </c>
    </row>
    <row r="1018" customFormat="false" ht="15" hidden="false" customHeight="true" outlineLevel="0" collapsed="false">
      <c r="A1018" s="5" t="s">
        <v>88</v>
      </c>
      <c r="B1018" s="5" t="s">
        <v>79</v>
      </c>
      <c r="C1018" s="5" t="s">
        <v>609</v>
      </c>
      <c r="D1018" s="6" t="n">
        <v>0.00129883198533385</v>
      </c>
      <c r="E1018" s="6" t="n">
        <v>0.000879784177232637</v>
      </c>
      <c r="F1018" s="7" t="n">
        <v>0.139861359797932</v>
      </c>
    </row>
    <row r="1019" customFormat="false" ht="15" hidden="false" customHeight="true" outlineLevel="0" collapsed="false">
      <c r="A1019" s="5" t="s">
        <v>88</v>
      </c>
      <c r="B1019" s="5" t="s">
        <v>79</v>
      </c>
      <c r="C1019" s="5" t="s">
        <v>610</v>
      </c>
      <c r="D1019" s="6" t="n">
        <v>0.00126734932255294</v>
      </c>
      <c r="E1019" s="6" t="n">
        <v>0.000879865435924782</v>
      </c>
      <c r="F1019" s="7" t="n">
        <v>0.149757108211626</v>
      </c>
    </row>
    <row r="1020" customFormat="false" ht="15" hidden="false" customHeight="true" outlineLevel="0" collapsed="false">
      <c r="A1020" s="5" t="s">
        <v>88</v>
      </c>
      <c r="B1020" s="5" t="s">
        <v>79</v>
      </c>
      <c r="C1020" s="5" t="s">
        <v>611</v>
      </c>
      <c r="D1020" s="6" t="n">
        <v>0.00139517689302341</v>
      </c>
      <c r="E1020" s="6" t="n">
        <v>0.00087679168948941</v>
      </c>
      <c r="F1020" s="7" t="n">
        <v>0.111557912739653</v>
      </c>
    </row>
    <row r="1021" customFormat="false" ht="15" hidden="false" customHeight="true" outlineLevel="0" collapsed="false">
      <c r="A1021" s="5" t="s">
        <v>88</v>
      </c>
      <c r="B1021" s="5" t="s">
        <v>79</v>
      </c>
      <c r="C1021" s="5" t="s">
        <v>612</v>
      </c>
      <c r="D1021" s="6" t="n">
        <v>0.00133063748676592</v>
      </c>
      <c r="E1021" s="6" t="n">
        <v>0.000878682658497977</v>
      </c>
      <c r="F1021" s="7" t="n">
        <v>0.129935823259195</v>
      </c>
    </row>
    <row r="1022" customFormat="false" ht="15" hidden="false" customHeight="true" outlineLevel="0" collapsed="false">
      <c r="A1022" s="5" t="s">
        <v>88</v>
      </c>
      <c r="B1022" s="5" t="s">
        <v>79</v>
      </c>
      <c r="C1022" s="5" t="s">
        <v>613</v>
      </c>
      <c r="D1022" s="6" t="n">
        <v>0.00128292500724535</v>
      </c>
      <c r="E1022" s="6" t="n">
        <v>0.000880060311974888</v>
      </c>
      <c r="F1022" s="7" t="n">
        <v>0.144904110934038</v>
      </c>
    </row>
    <row r="1023" customFormat="false" ht="15" hidden="false" customHeight="true" outlineLevel="0" collapsed="false">
      <c r="A1023" s="5" t="s">
        <v>88</v>
      </c>
      <c r="B1023" s="5" t="s">
        <v>79</v>
      </c>
      <c r="C1023" s="5" t="s">
        <v>614</v>
      </c>
      <c r="D1023" s="6" t="n">
        <v>0.00135640491316674</v>
      </c>
      <c r="E1023" s="6" t="n">
        <v>0.00087872951210957</v>
      </c>
      <c r="F1023" s="7" t="n">
        <v>0.122685806197728</v>
      </c>
    </row>
    <row r="1024" customFormat="false" ht="15" hidden="false" customHeight="true" outlineLevel="0" collapsed="false">
      <c r="A1024" s="5" t="s">
        <v>88</v>
      </c>
      <c r="B1024" s="5" t="s">
        <v>79</v>
      </c>
      <c r="C1024" s="5" t="s">
        <v>615</v>
      </c>
      <c r="D1024" s="6" t="n">
        <v>0.00124998235716513</v>
      </c>
      <c r="E1024" s="6" t="n">
        <v>0.000877947986362589</v>
      </c>
      <c r="F1024" s="7" t="n">
        <v>0.154517564025717</v>
      </c>
    </row>
    <row r="1025" customFormat="false" ht="15" hidden="false" customHeight="true" outlineLevel="0" collapsed="false">
      <c r="A1025" s="5" t="s">
        <v>88</v>
      </c>
      <c r="B1025" s="5" t="s">
        <v>79</v>
      </c>
      <c r="C1025" s="5" t="s">
        <v>616</v>
      </c>
      <c r="D1025" s="6" t="n">
        <v>0.00133246882264853</v>
      </c>
      <c r="E1025" s="6" t="n">
        <v>0.000877785158901815</v>
      </c>
      <c r="F1025" s="7" t="n">
        <v>0.129016997371926</v>
      </c>
    </row>
    <row r="1026" customFormat="false" ht="15" hidden="false" customHeight="true" outlineLevel="0" collapsed="false">
      <c r="A1026" s="5" t="s">
        <v>88</v>
      </c>
      <c r="B1026" s="5" t="s">
        <v>79</v>
      </c>
      <c r="C1026" s="5" t="s">
        <v>617</v>
      </c>
      <c r="D1026" s="6" t="n">
        <v>0.00134771554356686</v>
      </c>
      <c r="E1026" s="6" t="n">
        <v>0.000876372086031109</v>
      </c>
      <c r="F1026" s="7" t="n">
        <v>0.124088997900615</v>
      </c>
    </row>
    <row r="1027" customFormat="false" ht="15" hidden="false" customHeight="true" outlineLevel="0" collapsed="false">
      <c r="A1027" s="5" t="s">
        <v>88</v>
      </c>
      <c r="B1027" s="5" t="s">
        <v>79</v>
      </c>
      <c r="C1027" s="5" t="s">
        <v>618</v>
      </c>
      <c r="D1027" s="6" t="n">
        <v>0.00127836815113046</v>
      </c>
      <c r="E1027" s="6" t="n">
        <v>0.000880242942340143</v>
      </c>
      <c r="F1027" s="7" t="n">
        <v>0.146420946289604</v>
      </c>
    </row>
    <row r="1028" customFormat="false" ht="15" hidden="false" customHeight="true" outlineLevel="0" collapsed="false">
      <c r="A1028" s="5" t="s">
        <v>88</v>
      </c>
      <c r="B1028" s="5" t="s">
        <v>79</v>
      </c>
      <c r="C1028" s="5" t="s">
        <v>619</v>
      </c>
      <c r="D1028" s="6" t="n">
        <v>0.00123314726860129</v>
      </c>
      <c r="E1028" s="6" t="n">
        <v>0.000880217837182519</v>
      </c>
      <c r="F1028" s="7" t="n">
        <v>0.161226956471466</v>
      </c>
    </row>
    <row r="1029" customFormat="false" ht="15" hidden="false" customHeight="true" outlineLevel="0" collapsed="false">
      <c r="A1029" s="5" t="s">
        <v>88</v>
      </c>
      <c r="B1029" s="5" t="s">
        <v>79</v>
      </c>
      <c r="C1029" s="5" t="s">
        <v>620</v>
      </c>
      <c r="D1029" s="6" t="n">
        <v>0.00128423532822374</v>
      </c>
      <c r="E1029" s="6" t="n">
        <v>0.000879909848144406</v>
      </c>
      <c r="F1029" s="7" t="n">
        <v>0.144425382393251</v>
      </c>
    </row>
    <row r="1030" customFormat="false" ht="15" hidden="false" customHeight="true" outlineLevel="0" collapsed="false">
      <c r="A1030" s="5" t="s">
        <v>88</v>
      </c>
      <c r="B1030" s="5" t="s">
        <v>79</v>
      </c>
      <c r="C1030" s="5" t="s">
        <v>621</v>
      </c>
      <c r="D1030" s="6" t="n">
        <v>0.00128120825494083</v>
      </c>
      <c r="E1030" s="6" t="n">
        <v>0.000880094370680788</v>
      </c>
      <c r="F1030" s="7" t="n">
        <v>0.145458325305053</v>
      </c>
    </row>
    <row r="1031" customFormat="false" ht="15" hidden="false" customHeight="true" outlineLevel="0" collapsed="false">
      <c r="A1031" s="5" t="s">
        <v>88</v>
      </c>
      <c r="B1031" s="5" t="s">
        <v>79</v>
      </c>
      <c r="C1031" s="5" t="s">
        <v>622</v>
      </c>
      <c r="D1031" s="6" t="n">
        <v>0.0012966820710061</v>
      </c>
      <c r="E1031" s="6" t="n">
        <v>0.000879794063315059</v>
      </c>
      <c r="F1031" s="7" t="n">
        <v>0.140522720012904</v>
      </c>
    </row>
    <row r="1032" customFormat="false" ht="15" hidden="false" customHeight="true" outlineLevel="0" collapsed="false">
      <c r="A1032" s="5" t="s">
        <v>88</v>
      </c>
      <c r="B1032" s="5" t="s">
        <v>79</v>
      </c>
      <c r="C1032" s="5" t="s">
        <v>623</v>
      </c>
      <c r="D1032" s="6" t="n">
        <v>0.00136685885228193</v>
      </c>
      <c r="E1032" s="6" t="n">
        <v>0.000872746777427765</v>
      </c>
      <c r="F1032" s="7" t="n">
        <v>0.117311765333081</v>
      </c>
    </row>
    <row r="1033" customFormat="false" ht="15" hidden="false" customHeight="true" outlineLevel="0" collapsed="false">
      <c r="A1033" s="5" t="s">
        <v>88</v>
      </c>
      <c r="B1033" s="5" t="s">
        <v>79</v>
      </c>
      <c r="C1033" s="5" t="s">
        <v>624</v>
      </c>
      <c r="D1033" s="6" t="n">
        <v>0.00127680081905267</v>
      </c>
      <c r="E1033" s="6" t="n">
        <v>0.000879693807801138</v>
      </c>
      <c r="F1033" s="7" t="n">
        <v>0.146664325561775</v>
      </c>
    </row>
    <row r="1034" customFormat="false" ht="15" hidden="false" customHeight="true" outlineLevel="0" collapsed="false">
      <c r="A1034" s="5" t="s">
        <v>88</v>
      </c>
      <c r="B1034" s="5" t="s">
        <v>79</v>
      </c>
      <c r="C1034" s="5" t="s">
        <v>625</v>
      </c>
      <c r="D1034" s="6" t="n">
        <v>0.00132066994090235</v>
      </c>
      <c r="E1034" s="6" t="n">
        <v>0.000878726723101059</v>
      </c>
      <c r="F1034" s="7" t="n">
        <v>0.132855573596739</v>
      </c>
    </row>
    <row r="1035" customFormat="false" ht="15" hidden="false" customHeight="true" outlineLevel="0" collapsed="false">
      <c r="A1035" s="5" t="s">
        <v>88</v>
      </c>
      <c r="B1035" s="5" t="s">
        <v>79</v>
      </c>
      <c r="C1035" s="5" t="s">
        <v>626</v>
      </c>
      <c r="D1035" s="6" t="n">
        <v>0.00132665877039277</v>
      </c>
      <c r="E1035" s="6" t="n">
        <v>0.000879825205994417</v>
      </c>
      <c r="F1035" s="7" t="n">
        <v>0.13158875147996</v>
      </c>
    </row>
    <row r="1036" customFormat="false" ht="15" hidden="false" customHeight="true" outlineLevel="0" collapsed="false">
      <c r="A1036" s="5" t="s">
        <v>88</v>
      </c>
      <c r="B1036" s="5" t="s">
        <v>79</v>
      </c>
      <c r="C1036" s="5" t="s">
        <v>627</v>
      </c>
      <c r="D1036" s="6" t="n">
        <v>0.0012463207724689</v>
      </c>
      <c r="E1036" s="6" t="n">
        <v>0.000879051875671948</v>
      </c>
      <c r="F1036" s="7" t="n">
        <v>0.156248824275626</v>
      </c>
    </row>
    <row r="1037" customFormat="false" ht="15" hidden="false" customHeight="true" outlineLevel="0" collapsed="false">
      <c r="A1037" s="5" t="s">
        <v>88</v>
      </c>
      <c r="B1037" s="5" t="s">
        <v>79</v>
      </c>
      <c r="C1037" s="5" t="s">
        <v>628</v>
      </c>
      <c r="D1037" s="6" t="n">
        <v>0.00129252217954936</v>
      </c>
      <c r="E1037" s="6" t="n">
        <v>0.000885804367038515</v>
      </c>
      <c r="F1037" s="7" t="n">
        <v>0.144523597966406</v>
      </c>
    </row>
    <row r="1038" customFormat="false" ht="15" hidden="false" customHeight="true" outlineLevel="0" collapsed="false">
      <c r="A1038" s="5" t="s">
        <v>88</v>
      </c>
      <c r="B1038" s="5" t="s">
        <v>79</v>
      </c>
      <c r="C1038" s="5" t="s">
        <v>629</v>
      </c>
      <c r="D1038" s="6" t="n">
        <v>0.0012687741440864</v>
      </c>
      <c r="E1038" s="6" t="n">
        <v>0.000880350784424427</v>
      </c>
      <c r="F1038" s="7" t="n">
        <v>0.149524148208382</v>
      </c>
    </row>
    <row r="1039" customFormat="false" ht="15" hidden="false" customHeight="true" outlineLevel="0" collapsed="false">
      <c r="A1039" s="5" t="s">
        <v>88</v>
      </c>
      <c r="B1039" s="5" t="s">
        <v>79</v>
      </c>
      <c r="C1039" s="5" t="s">
        <v>630</v>
      </c>
      <c r="D1039" s="6" t="n">
        <v>0.00131674853124046</v>
      </c>
      <c r="E1039" s="6" t="n">
        <v>0.000878982471520729</v>
      </c>
      <c r="F1039" s="7" t="n">
        <v>0.134123558861205</v>
      </c>
    </row>
    <row r="1040" customFormat="false" ht="15" hidden="false" customHeight="true" outlineLevel="0" collapsed="false">
      <c r="A1040" s="5" t="s">
        <v>88</v>
      </c>
      <c r="B1040" s="5" t="s">
        <v>79</v>
      </c>
      <c r="C1040" s="5" t="s">
        <v>631</v>
      </c>
      <c r="D1040" s="6" t="n">
        <v>0.00132297556708912</v>
      </c>
      <c r="E1040" s="6" t="n">
        <v>0.000879555678829767</v>
      </c>
      <c r="F1040" s="7" t="n">
        <v>0.132545121370135</v>
      </c>
    </row>
    <row r="1041" customFormat="false" ht="15" hidden="false" customHeight="true" outlineLevel="0" collapsed="false">
      <c r="A1041" s="5" t="s">
        <v>88</v>
      </c>
      <c r="B1041" s="5" t="s">
        <v>79</v>
      </c>
      <c r="C1041" s="5" t="s">
        <v>785</v>
      </c>
      <c r="D1041" s="6" t="n">
        <v>0.00129451720224735</v>
      </c>
      <c r="E1041" s="6" t="n">
        <v>0.000879956412250491</v>
      </c>
      <c r="F1041" s="7" t="n">
        <v>0.141259980754842</v>
      </c>
    </row>
    <row r="1042" customFormat="false" ht="15" hidden="false" customHeight="true" outlineLevel="0" collapsed="false">
      <c r="A1042" s="5" t="s">
        <v>88</v>
      </c>
      <c r="B1042" s="5" t="s">
        <v>79</v>
      </c>
      <c r="C1042" s="5" t="s">
        <v>786</v>
      </c>
      <c r="D1042" s="6" t="n">
        <v>0.00132798469601551</v>
      </c>
      <c r="E1042" s="6" t="n">
        <v>0.000878533374720676</v>
      </c>
      <c r="F1042" s="7" t="n">
        <v>0.130637492513258</v>
      </c>
    </row>
    <row r="1043" customFormat="false" ht="15" hidden="false" customHeight="true" outlineLevel="0" collapsed="false">
      <c r="A1043" s="5" t="s">
        <v>88</v>
      </c>
      <c r="B1043" s="5" t="s">
        <v>79</v>
      </c>
      <c r="C1043" s="5" t="s">
        <v>632</v>
      </c>
      <c r="D1043" s="6" t="n">
        <v>0.00127990086541968</v>
      </c>
      <c r="E1043" s="6" t="n">
        <v>0.000879976146366776</v>
      </c>
      <c r="F1043" s="7" t="n">
        <v>0.14581542795958</v>
      </c>
    </row>
    <row r="1044" customFormat="false" ht="15" hidden="false" customHeight="true" outlineLevel="0" collapsed="false">
      <c r="A1044" s="5" t="s">
        <v>88</v>
      </c>
      <c r="B1044" s="5" t="s">
        <v>79</v>
      </c>
      <c r="C1044" s="5" t="s">
        <v>633</v>
      </c>
      <c r="D1044" s="6" t="n">
        <v>0.00126396029505388</v>
      </c>
      <c r="E1044" s="6" t="n">
        <v>0.00087946240879688</v>
      </c>
      <c r="F1044" s="7" t="n">
        <v>0.150662167472077</v>
      </c>
    </row>
    <row r="1045" customFormat="false" ht="15" hidden="false" customHeight="true" outlineLevel="0" collapsed="false">
      <c r="A1045" s="5" t="s">
        <v>88</v>
      </c>
      <c r="B1045" s="5" t="s">
        <v>79</v>
      </c>
      <c r="C1045" s="5" t="s">
        <v>634</v>
      </c>
      <c r="D1045" s="6" t="n">
        <v>0.0012581113752903</v>
      </c>
      <c r="E1045" s="6" t="n">
        <v>0.000879132975763972</v>
      </c>
      <c r="F1045" s="7" t="n">
        <v>0.152406716038558</v>
      </c>
    </row>
    <row r="1046" customFormat="false" ht="15" hidden="false" customHeight="true" outlineLevel="0" collapsed="false">
      <c r="A1046" s="5" t="s">
        <v>88</v>
      </c>
      <c r="B1046" s="5" t="s">
        <v>79</v>
      </c>
      <c r="C1046" s="5" t="s">
        <v>635</v>
      </c>
      <c r="D1046" s="6" t="n">
        <v>0.00134155089581192</v>
      </c>
      <c r="E1046" s="6" t="n">
        <v>0.000877769198016403</v>
      </c>
      <c r="F1046" s="7" t="n">
        <v>0.126422172775715</v>
      </c>
    </row>
    <row r="1047" customFormat="false" ht="15" hidden="false" customHeight="true" outlineLevel="0" collapsed="false">
      <c r="A1047" s="5" t="s">
        <v>88</v>
      </c>
      <c r="B1047" s="5" t="s">
        <v>79</v>
      </c>
      <c r="C1047" s="5" t="s">
        <v>636</v>
      </c>
      <c r="D1047" s="6" t="n">
        <v>0.00129025277404028</v>
      </c>
      <c r="E1047" s="6" t="n">
        <v>0.000880850571729838</v>
      </c>
      <c r="F1047" s="7" t="n">
        <v>0.142980803447513</v>
      </c>
    </row>
    <row r="1048" customFormat="false" ht="15" hidden="false" customHeight="true" outlineLevel="0" collapsed="false">
      <c r="A1048" s="5" t="s">
        <v>88</v>
      </c>
      <c r="B1048" s="5" t="s">
        <v>79</v>
      </c>
      <c r="C1048" s="5" t="s">
        <v>637</v>
      </c>
      <c r="D1048" s="6" t="n">
        <v>0.00130197111223944</v>
      </c>
      <c r="E1048" s="6" t="n">
        <v>0.00087963677648487</v>
      </c>
      <c r="F1048" s="7" t="n">
        <v>0.138840276628993</v>
      </c>
    </row>
    <row r="1049" customFormat="false" ht="15" hidden="false" customHeight="true" outlineLevel="0" collapsed="false">
      <c r="A1049" s="5" t="s">
        <v>88</v>
      </c>
      <c r="B1049" s="5" t="s">
        <v>79</v>
      </c>
      <c r="C1049" s="5" t="s">
        <v>638</v>
      </c>
      <c r="D1049" s="6" t="n">
        <v>0.0014055870561454</v>
      </c>
      <c r="E1049" s="6" t="n">
        <v>0.00088805903681022</v>
      </c>
      <c r="F1049" s="7" t="n">
        <v>0.113475474704366</v>
      </c>
    </row>
    <row r="1050" customFormat="false" ht="15" hidden="false" customHeight="true" outlineLevel="0" collapsed="false">
      <c r="A1050" s="5" t="s">
        <v>88</v>
      </c>
      <c r="B1050" s="5" t="s">
        <v>79</v>
      </c>
      <c r="C1050" s="5" t="s">
        <v>639</v>
      </c>
      <c r="D1050" s="6" t="n">
        <v>0.00132568109358481</v>
      </c>
      <c r="E1050" s="6" t="n">
        <v>0.000879467194866126</v>
      </c>
      <c r="F1050" s="7" t="n">
        <v>0.131716243663784</v>
      </c>
    </row>
    <row r="1051" customFormat="false" ht="15" hidden="false" customHeight="true" outlineLevel="0" collapsed="false">
      <c r="A1051" s="5" t="s">
        <v>88</v>
      </c>
      <c r="B1051" s="5" t="s">
        <v>79</v>
      </c>
      <c r="C1051" s="5" t="s">
        <v>640</v>
      </c>
      <c r="D1051" s="6" t="n">
        <v>0.00126807708195788</v>
      </c>
      <c r="E1051" s="6" t="n">
        <v>0.000879267433776479</v>
      </c>
      <c r="F1051" s="7" t="n">
        <v>0.149246733940698</v>
      </c>
    </row>
    <row r="1052" customFormat="false" ht="15" hidden="false" customHeight="true" outlineLevel="0" collapsed="false">
      <c r="A1052" s="5" t="s">
        <v>88</v>
      </c>
      <c r="B1052" s="5" t="s">
        <v>79</v>
      </c>
      <c r="C1052" s="5" t="s">
        <v>641</v>
      </c>
      <c r="D1052" s="6" t="n">
        <v>0.00124077826239644</v>
      </c>
      <c r="E1052" s="6" t="n">
        <v>0.000876982561358802</v>
      </c>
      <c r="F1052" s="7" t="n">
        <v>0.157119340680692</v>
      </c>
    </row>
    <row r="1053" customFormat="false" ht="15" hidden="false" customHeight="true" outlineLevel="0" collapsed="false">
      <c r="A1053" s="5" t="s">
        <v>88</v>
      </c>
      <c r="B1053" s="5" t="s">
        <v>79</v>
      </c>
      <c r="C1053" s="5" t="s">
        <v>642</v>
      </c>
      <c r="D1053" s="6" t="n">
        <v>0.00130157961083619</v>
      </c>
      <c r="E1053" s="6" t="n">
        <v>0.000880116801819334</v>
      </c>
      <c r="F1053" s="7" t="n">
        <v>0.13917467510026</v>
      </c>
    </row>
    <row r="1054" customFormat="false" ht="15" hidden="false" customHeight="true" outlineLevel="0" collapsed="false">
      <c r="A1054" s="5" t="s">
        <v>88</v>
      </c>
      <c r="B1054" s="5" t="s">
        <v>79</v>
      </c>
      <c r="C1054" s="5" t="s">
        <v>643</v>
      </c>
      <c r="D1054" s="6" t="n">
        <v>0.00120316678434381</v>
      </c>
      <c r="E1054" s="6" t="n">
        <v>0.000874605480832492</v>
      </c>
      <c r="F1054" s="7" t="n">
        <v>0.168924439254344</v>
      </c>
    </row>
    <row r="1055" customFormat="false" ht="15" hidden="false" customHeight="true" outlineLevel="0" collapsed="false">
      <c r="A1055" s="5" t="s">
        <v>88</v>
      </c>
      <c r="B1055" s="5" t="s">
        <v>79</v>
      </c>
      <c r="C1055" s="5" t="s">
        <v>644</v>
      </c>
      <c r="D1055" s="6" t="n">
        <v>0.00128598108781758</v>
      </c>
      <c r="E1055" s="6" t="n">
        <v>0.000879721369384939</v>
      </c>
      <c r="F1055" s="7" t="n">
        <v>0.143794656237513</v>
      </c>
    </row>
    <row r="1056" customFormat="false" ht="15" hidden="false" customHeight="true" outlineLevel="0" collapsed="false">
      <c r="A1056" s="5" t="s">
        <v>88</v>
      </c>
      <c r="B1056" s="5" t="s">
        <v>79</v>
      </c>
      <c r="C1056" s="5" t="s">
        <v>645</v>
      </c>
      <c r="D1056" s="6" t="n">
        <v>0.00126624745462235</v>
      </c>
      <c r="E1056" s="6" t="n">
        <v>0.000879414019712553</v>
      </c>
      <c r="F1056" s="7" t="n">
        <v>0.149902383372844</v>
      </c>
    </row>
    <row r="1057" customFormat="false" ht="15" hidden="false" customHeight="true" outlineLevel="0" collapsed="false">
      <c r="A1057" s="5" t="s">
        <v>88</v>
      </c>
      <c r="B1057" s="5" t="s">
        <v>79</v>
      </c>
      <c r="C1057" s="5" t="s">
        <v>646</v>
      </c>
      <c r="D1057" s="6" t="n">
        <v>0.00127980692490765</v>
      </c>
      <c r="E1057" s="6" t="n">
        <v>0.000879665192153</v>
      </c>
      <c r="F1057" s="7" t="n">
        <v>0.145702602005557</v>
      </c>
    </row>
    <row r="1058" customFormat="false" ht="15" hidden="false" customHeight="true" outlineLevel="0" collapsed="false">
      <c r="A1058" s="5" t="s">
        <v>88</v>
      </c>
      <c r="B1058" s="5" t="s">
        <v>79</v>
      </c>
      <c r="C1058" s="5" t="s">
        <v>647</v>
      </c>
      <c r="D1058" s="6" t="n">
        <v>0.00122746312206558</v>
      </c>
      <c r="E1058" s="6" t="n">
        <v>0.000878359649190036</v>
      </c>
      <c r="F1058" s="7" t="n">
        <v>0.162278487297418</v>
      </c>
    </row>
    <row r="1059" customFormat="false" ht="15" hidden="false" customHeight="true" outlineLevel="0" collapsed="false">
      <c r="A1059" s="5" t="s">
        <v>88</v>
      </c>
      <c r="B1059" s="5" t="s">
        <v>79</v>
      </c>
      <c r="C1059" s="5" t="s">
        <v>648</v>
      </c>
      <c r="D1059" s="6" t="n">
        <v>0.00126858809434574</v>
      </c>
      <c r="E1059" s="6" t="n">
        <v>0.00088017728217427</v>
      </c>
      <c r="F1059" s="7" t="n">
        <v>0.149503612046948</v>
      </c>
    </row>
    <row r="1060" customFormat="false" ht="15" hidden="false" customHeight="true" outlineLevel="0" collapsed="false">
      <c r="A1060" s="5" t="s">
        <v>88</v>
      </c>
      <c r="B1060" s="5" t="s">
        <v>79</v>
      </c>
      <c r="C1060" s="5" t="s">
        <v>649</v>
      </c>
      <c r="D1060" s="6" t="n">
        <v>0.00136407918828783</v>
      </c>
      <c r="E1060" s="6" t="n">
        <v>0.000874059191983366</v>
      </c>
      <c r="F1060" s="7" t="n">
        <v>0.118612104816746</v>
      </c>
    </row>
    <row r="1061" customFormat="false" ht="15" hidden="false" customHeight="true" outlineLevel="0" collapsed="false">
      <c r="A1061" s="5" t="s">
        <v>88</v>
      </c>
      <c r="B1061" s="5" t="s">
        <v>79</v>
      </c>
      <c r="C1061" s="5" t="s">
        <v>650</v>
      </c>
      <c r="D1061" s="6" t="n">
        <v>0.00133417869156834</v>
      </c>
      <c r="E1061" s="6" t="n">
        <v>0.000879607535092315</v>
      </c>
      <c r="F1061" s="7" t="n">
        <v>0.129320063356834</v>
      </c>
    </row>
    <row r="1062" customFormat="false" ht="15" hidden="false" customHeight="true" outlineLevel="0" collapsed="false">
      <c r="A1062" s="5" t="s">
        <v>88</v>
      </c>
      <c r="B1062" s="5" t="s">
        <v>79</v>
      </c>
      <c r="C1062" s="5" t="s">
        <v>651</v>
      </c>
      <c r="D1062" s="6" t="n">
        <v>0.00128886056147499</v>
      </c>
      <c r="E1062" s="6" t="n">
        <v>0.00087974997628431</v>
      </c>
      <c r="F1062" s="7" t="n">
        <v>0.142912592311017</v>
      </c>
    </row>
    <row r="1063" customFormat="false" ht="15" hidden="false" customHeight="true" outlineLevel="0" collapsed="false">
      <c r="A1063" s="5" t="s">
        <v>88</v>
      </c>
      <c r="B1063" s="5" t="s">
        <v>79</v>
      </c>
      <c r="C1063" s="5" t="s">
        <v>652</v>
      </c>
      <c r="D1063" s="6" t="n">
        <v>0.00129049380210068</v>
      </c>
      <c r="E1063" s="6" t="n">
        <v>0.000879843252257064</v>
      </c>
      <c r="F1063" s="7" t="n">
        <v>0.142449113721954</v>
      </c>
    </row>
    <row r="1064" customFormat="false" ht="15" hidden="false" customHeight="true" outlineLevel="0" collapsed="false">
      <c r="A1064" s="5" t="s">
        <v>88</v>
      </c>
      <c r="B1064" s="5" t="s">
        <v>79</v>
      </c>
      <c r="C1064" s="5" t="s">
        <v>653</v>
      </c>
      <c r="D1064" s="6" t="n">
        <v>0.00129657318104213</v>
      </c>
      <c r="E1064" s="6" t="n">
        <v>0.000879676818306425</v>
      </c>
      <c r="F1064" s="7" t="n">
        <v>0.140503155083396</v>
      </c>
    </row>
    <row r="1065" customFormat="false" ht="15" hidden="false" customHeight="true" outlineLevel="0" collapsed="false">
      <c r="A1065" s="5" t="s">
        <v>88</v>
      </c>
      <c r="B1065" s="5" t="s">
        <v>79</v>
      </c>
      <c r="C1065" s="5" t="s">
        <v>654</v>
      </c>
      <c r="D1065" s="6" t="n">
        <v>0.00129833524181239</v>
      </c>
      <c r="E1065" s="6" t="n">
        <v>0.000879842219542182</v>
      </c>
      <c r="F1065" s="7" t="n">
        <v>0.140039074619104</v>
      </c>
    </row>
    <row r="1066" customFormat="false" ht="15" hidden="false" customHeight="true" outlineLevel="0" collapsed="false">
      <c r="A1066" s="5" t="s">
        <v>88</v>
      </c>
      <c r="B1066" s="5" t="s">
        <v>79</v>
      </c>
      <c r="C1066" s="5" t="s">
        <v>655</v>
      </c>
      <c r="D1066" s="6" t="n">
        <v>0.00119444084394431</v>
      </c>
      <c r="E1066" s="6" t="n">
        <v>0.000877213653684678</v>
      </c>
      <c r="F1066" s="7" t="n">
        <v>0.173314532629411</v>
      </c>
    </row>
    <row r="1067" customFormat="false" ht="15" hidden="false" customHeight="true" outlineLevel="0" collapsed="false">
      <c r="A1067" s="5" t="s">
        <v>88</v>
      </c>
      <c r="B1067" s="5" t="s">
        <v>79</v>
      </c>
      <c r="C1067" s="5" t="s">
        <v>656</v>
      </c>
      <c r="D1067" s="6" t="n">
        <v>0.0013403756058628</v>
      </c>
      <c r="E1067" s="6" t="n">
        <v>0.000878923758659601</v>
      </c>
      <c r="F1067" s="7" t="n">
        <v>0.127254309206529</v>
      </c>
    </row>
    <row r="1068" customFormat="false" ht="15" hidden="false" customHeight="true" outlineLevel="0" collapsed="false">
      <c r="A1068" s="5" t="s">
        <v>88</v>
      </c>
      <c r="B1068" s="5" t="s">
        <v>79</v>
      </c>
      <c r="C1068" s="5" t="s">
        <v>657</v>
      </c>
      <c r="D1068" s="6" t="n">
        <v>0.00129562576305022</v>
      </c>
      <c r="E1068" s="6" t="n">
        <v>0.000879792759632744</v>
      </c>
      <c r="F1068" s="7" t="n">
        <v>0.140845755477102</v>
      </c>
    </row>
    <row r="1069" customFormat="false" ht="15" hidden="false" customHeight="true" outlineLevel="0" collapsed="false">
      <c r="A1069" s="5" t="s">
        <v>88</v>
      </c>
      <c r="B1069" s="5" t="s">
        <v>79</v>
      </c>
      <c r="C1069" s="5" t="s">
        <v>658</v>
      </c>
      <c r="D1069" s="6" t="n">
        <v>0.00124462715979339</v>
      </c>
      <c r="E1069" s="6" t="n">
        <v>0.000877243919346226</v>
      </c>
      <c r="F1069" s="7" t="n">
        <v>0.155959497837113</v>
      </c>
    </row>
    <row r="1070" customFormat="false" ht="15" hidden="false" customHeight="true" outlineLevel="0" collapsed="false">
      <c r="A1070" s="5" t="s">
        <v>88</v>
      </c>
      <c r="B1070" s="5" t="s">
        <v>79</v>
      </c>
      <c r="C1070" s="5" t="s">
        <v>659</v>
      </c>
      <c r="D1070" s="6" t="n">
        <v>0.00131188487562049</v>
      </c>
      <c r="E1070" s="6" t="n">
        <v>0.000879030670494074</v>
      </c>
      <c r="F1070" s="7" t="n">
        <v>0.135588502225715</v>
      </c>
    </row>
    <row r="1071" customFormat="false" ht="15" hidden="false" customHeight="true" outlineLevel="0" collapsed="false">
      <c r="A1071" s="5" t="s">
        <v>88</v>
      </c>
      <c r="B1071" s="5" t="s">
        <v>79</v>
      </c>
      <c r="C1071" s="5" t="s">
        <v>660</v>
      </c>
      <c r="D1071" s="6" t="n">
        <v>0.0012631733492891</v>
      </c>
      <c r="E1071" s="6" t="n">
        <v>0.000882139089119752</v>
      </c>
      <c r="F1071" s="7" t="n">
        <v>0.152159986928</v>
      </c>
    </row>
    <row r="1072" customFormat="false" ht="15" hidden="false" customHeight="true" outlineLevel="0" collapsed="false">
      <c r="A1072" s="5" t="s">
        <v>88</v>
      </c>
      <c r="B1072" s="5" t="s">
        <v>79</v>
      </c>
      <c r="C1072" s="5" t="s">
        <v>661</v>
      </c>
      <c r="D1072" s="6" t="n">
        <v>0.00123427869092766</v>
      </c>
      <c r="E1072" s="6" t="n">
        <v>0.000882562317904884</v>
      </c>
      <c r="F1072" s="7" t="n">
        <v>0.161957774131889</v>
      </c>
    </row>
    <row r="1073" customFormat="false" ht="15" hidden="false" customHeight="true" outlineLevel="0" collapsed="false">
      <c r="A1073" s="5" t="s">
        <v>88</v>
      </c>
      <c r="B1073" s="5" t="s">
        <v>79</v>
      </c>
      <c r="C1073" s="5" t="s">
        <v>769</v>
      </c>
      <c r="D1073" s="6" t="n">
        <v>0.00129151755616625</v>
      </c>
      <c r="E1073" s="6" t="n">
        <v>0.000881665048544983</v>
      </c>
      <c r="F1073" s="7" t="n">
        <v>0.142958593916086</v>
      </c>
    </row>
    <row r="1074" customFormat="false" ht="15" hidden="false" customHeight="true" outlineLevel="0" collapsed="false">
      <c r="A1074" s="5" t="s">
        <v>88</v>
      </c>
      <c r="B1074" s="5" t="s">
        <v>79</v>
      </c>
      <c r="C1074" s="5" t="s">
        <v>662</v>
      </c>
      <c r="D1074" s="6" t="n">
        <v>0.00128720828971095</v>
      </c>
      <c r="E1074" s="6" t="n">
        <v>0.000879755379004935</v>
      </c>
      <c r="F1074" s="7" t="n">
        <v>0.143428140283178</v>
      </c>
    </row>
    <row r="1075" customFormat="false" ht="15" hidden="false" customHeight="true" outlineLevel="0" collapsed="false">
      <c r="A1075" s="5" t="s">
        <v>88</v>
      </c>
      <c r="B1075" s="5" t="s">
        <v>79</v>
      </c>
      <c r="C1075" s="5" t="s">
        <v>787</v>
      </c>
      <c r="D1075" s="6" t="n">
        <v>0.00129286392525631</v>
      </c>
      <c r="E1075" s="6" t="n">
        <v>0.000879851295352162</v>
      </c>
      <c r="F1075" s="7" t="n">
        <v>0.141721113386445</v>
      </c>
    </row>
    <row r="1076" customFormat="false" ht="15" hidden="false" customHeight="true" outlineLevel="0" collapsed="false">
      <c r="A1076" s="5" t="s">
        <v>88</v>
      </c>
      <c r="B1076" s="5" t="s">
        <v>79</v>
      </c>
      <c r="C1076" s="5" t="s">
        <v>663</v>
      </c>
      <c r="D1076" s="6" t="n">
        <v>0.00126570006842076</v>
      </c>
      <c r="E1076" s="6" t="n">
        <v>0.000879158151630862</v>
      </c>
      <c r="F1076" s="7" t="n">
        <v>0.149959995300141</v>
      </c>
    </row>
    <row r="1077" customFormat="false" ht="15" hidden="false" customHeight="true" outlineLevel="0" collapsed="false">
      <c r="A1077" s="5" t="s">
        <v>88</v>
      </c>
      <c r="B1077" s="5" t="s">
        <v>79</v>
      </c>
      <c r="C1077" s="5" t="s">
        <v>664</v>
      </c>
      <c r="D1077" s="6" t="n">
        <v>0.00130454176030068</v>
      </c>
      <c r="E1077" s="6" t="n">
        <v>0.000882226260694012</v>
      </c>
      <c r="F1077" s="7" t="n">
        <v>0.139222394873113</v>
      </c>
    </row>
    <row r="1078" customFormat="false" ht="15" hidden="false" customHeight="true" outlineLevel="0" collapsed="false">
      <c r="A1078" s="5" t="s">
        <v>88</v>
      </c>
      <c r="B1078" s="5" t="s">
        <v>79</v>
      </c>
      <c r="C1078" s="5" t="s">
        <v>665</v>
      </c>
      <c r="D1078" s="6" t="n">
        <v>0.00133251076884261</v>
      </c>
      <c r="E1078" s="6" t="n">
        <v>0.000877775317250865</v>
      </c>
      <c r="F1078" s="7" t="n">
        <v>0.129000660542231</v>
      </c>
    </row>
    <row r="1079" customFormat="false" ht="15" hidden="false" customHeight="true" outlineLevel="0" collapsed="false">
      <c r="A1079" s="5" t="s">
        <v>88</v>
      </c>
      <c r="B1079" s="5" t="s">
        <v>79</v>
      </c>
      <c r="C1079" s="5" t="s">
        <v>666</v>
      </c>
      <c r="D1079" s="6" t="n">
        <v>0.00129172948396572</v>
      </c>
      <c r="E1079" s="6" t="n">
        <v>0.00088010055804797</v>
      </c>
      <c r="F1079" s="7" t="n">
        <v>0.142183910563365</v>
      </c>
    </row>
    <row r="1080" customFormat="false" ht="15" hidden="false" customHeight="true" outlineLevel="0" collapsed="false">
      <c r="A1080" s="5" t="s">
        <v>88</v>
      </c>
      <c r="B1080" s="5" t="s">
        <v>79</v>
      </c>
      <c r="C1080" s="5" t="s">
        <v>667</v>
      </c>
      <c r="D1080" s="6" t="n">
        <v>0.00127228119626873</v>
      </c>
      <c r="E1080" s="6" t="n">
        <v>0.000879448134809677</v>
      </c>
      <c r="F1080" s="7" t="n">
        <v>0.147986196166301</v>
      </c>
    </row>
    <row r="1081" customFormat="false" ht="15" hidden="false" customHeight="true" outlineLevel="0" collapsed="false">
      <c r="A1081" s="5" t="s">
        <v>88</v>
      </c>
      <c r="B1081" s="5" t="s">
        <v>79</v>
      </c>
      <c r="C1081" s="5" t="s">
        <v>668</v>
      </c>
      <c r="D1081" s="6" t="n">
        <v>0.00124809728732952</v>
      </c>
      <c r="E1081" s="6" t="n">
        <v>0.000878728628175839</v>
      </c>
      <c r="F1081" s="7" t="n">
        <v>0.155507440604557</v>
      </c>
    </row>
    <row r="1082" customFormat="false" ht="15" hidden="false" customHeight="true" outlineLevel="0" collapsed="false">
      <c r="A1082" s="5" t="s">
        <v>88</v>
      </c>
      <c r="B1082" s="5" t="s">
        <v>79</v>
      </c>
      <c r="C1082" s="5" t="s">
        <v>669</v>
      </c>
      <c r="D1082" s="6" t="n">
        <v>0.00125598609657083</v>
      </c>
      <c r="E1082" s="6" t="n">
        <v>0.000878806825637982</v>
      </c>
      <c r="F1082" s="7" t="n">
        <v>0.152948267843556</v>
      </c>
    </row>
    <row r="1083" customFormat="false" ht="15" hidden="false" customHeight="true" outlineLevel="0" collapsed="false">
      <c r="A1083" s="5" t="s">
        <v>88</v>
      </c>
      <c r="B1083" s="5" t="s">
        <v>79</v>
      </c>
      <c r="C1083" s="5" t="s">
        <v>670</v>
      </c>
      <c r="D1083" s="6" t="n">
        <v>0.00120229286435067</v>
      </c>
      <c r="E1083" s="6" t="n">
        <v>0.00087507470235664</v>
      </c>
      <c r="F1083" s="7" t="n">
        <v>0.169462890439918</v>
      </c>
    </row>
    <row r="1084" customFormat="false" ht="15" hidden="false" customHeight="true" outlineLevel="0" collapsed="false">
      <c r="A1084" s="5" t="s">
        <v>88</v>
      </c>
      <c r="B1084" s="5" t="s">
        <v>79</v>
      </c>
      <c r="C1084" s="5" t="s">
        <v>671</v>
      </c>
      <c r="D1084" s="6" t="n">
        <v>0.00128634842817207</v>
      </c>
      <c r="E1084" s="6" t="n">
        <v>0.000880318864430693</v>
      </c>
      <c r="F1084" s="7" t="n">
        <v>0.14395230341629</v>
      </c>
    </row>
    <row r="1085" customFormat="false" ht="15" hidden="false" customHeight="true" outlineLevel="0" collapsed="false">
      <c r="A1085" s="5" t="s">
        <v>88</v>
      </c>
      <c r="B1085" s="5" t="s">
        <v>79</v>
      </c>
      <c r="C1085" s="5" t="s">
        <v>672</v>
      </c>
      <c r="D1085" s="6" t="n">
        <v>0.00132947340771037</v>
      </c>
      <c r="E1085" s="6" t="n">
        <v>0.000878132826704152</v>
      </c>
      <c r="F1085" s="7" t="n">
        <v>0.130031527119008</v>
      </c>
    </row>
    <row r="1086" customFormat="false" ht="15" hidden="false" customHeight="true" outlineLevel="0" collapsed="false">
      <c r="A1086" s="5" t="s">
        <v>88</v>
      </c>
      <c r="B1086" s="5" t="s">
        <v>79</v>
      </c>
      <c r="C1086" s="5" t="s">
        <v>673</v>
      </c>
      <c r="D1086" s="6" t="n">
        <v>0.00130686957810515</v>
      </c>
      <c r="E1086" s="6" t="n">
        <v>0.000879718946738698</v>
      </c>
      <c r="F1086" s="7" t="n">
        <v>0.137397257003882</v>
      </c>
    </row>
    <row r="1087" customFormat="false" ht="15" hidden="false" customHeight="true" outlineLevel="0" collapsed="false">
      <c r="A1087" s="5" t="s">
        <v>88</v>
      </c>
      <c r="B1087" s="5" t="s">
        <v>79</v>
      </c>
      <c r="C1087" s="5" t="s">
        <v>674</v>
      </c>
      <c r="D1087" s="6" t="n">
        <v>0.0012917557078764</v>
      </c>
      <c r="E1087" s="6" t="n">
        <v>0.000880556088647222</v>
      </c>
      <c r="F1087" s="7" t="n">
        <v>0.142382257003725</v>
      </c>
    </row>
    <row r="1088" customFormat="false" ht="15" hidden="false" customHeight="true" outlineLevel="0" collapsed="false">
      <c r="A1088" s="5" t="s">
        <v>88</v>
      </c>
      <c r="B1088" s="5" t="s">
        <v>79</v>
      </c>
      <c r="C1088" s="5" t="s">
        <v>675</v>
      </c>
      <c r="D1088" s="6" t="n">
        <v>0.00130006875627005</v>
      </c>
      <c r="E1088" s="6" t="n">
        <v>0.000879903357714687</v>
      </c>
      <c r="F1088" s="7" t="n">
        <v>0.139538143735064</v>
      </c>
    </row>
    <row r="1089" customFormat="false" ht="15" hidden="false" customHeight="true" outlineLevel="0" collapsed="false">
      <c r="A1089" s="5" t="s">
        <v>88</v>
      </c>
      <c r="B1089" s="5" t="s">
        <v>79</v>
      </c>
      <c r="C1089" s="5" t="s">
        <v>676</v>
      </c>
      <c r="D1089" s="6" t="n">
        <v>0.00125974246477288</v>
      </c>
      <c r="E1089" s="6" t="n">
        <v>0.000880489475866422</v>
      </c>
      <c r="F1089" s="7" t="n">
        <v>0.152507690905299</v>
      </c>
    </row>
    <row r="1090" customFormat="false" ht="15" hidden="false" customHeight="true" outlineLevel="0" collapsed="false">
      <c r="A1090" s="5" t="s">
        <v>88</v>
      </c>
      <c r="B1090" s="5" t="s">
        <v>79</v>
      </c>
      <c r="C1090" s="5" t="s">
        <v>677</v>
      </c>
      <c r="D1090" s="6" t="n">
        <v>0.00132895373838747</v>
      </c>
      <c r="E1090" s="6" t="n">
        <v>0.000879334197855234</v>
      </c>
      <c r="F1090" s="7" t="n">
        <v>0.130707410332746</v>
      </c>
    </row>
    <row r="1091" customFormat="false" ht="15" hidden="false" customHeight="true" outlineLevel="0" collapsed="false">
      <c r="A1091" s="5" t="s">
        <v>88</v>
      </c>
      <c r="B1091" s="5" t="s">
        <v>79</v>
      </c>
      <c r="C1091" s="5" t="s">
        <v>678</v>
      </c>
      <c r="D1091" s="6" t="n">
        <v>0.00129082038511929</v>
      </c>
      <c r="E1091" s="6" t="n">
        <v>0.000880028435600929</v>
      </c>
      <c r="F1091" s="7" t="n">
        <v>0.142432116012332</v>
      </c>
    </row>
    <row r="1092" customFormat="false" ht="15" hidden="false" customHeight="true" outlineLevel="0" collapsed="false">
      <c r="A1092" s="5" t="s">
        <v>88</v>
      </c>
      <c r="B1092" s="5" t="s">
        <v>79</v>
      </c>
      <c r="C1092" s="5" t="s">
        <v>788</v>
      </c>
      <c r="D1092" s="6" t="n">
        <v>0.00131349110501238</v>
      </c>
      <c r="E1092" s="6" t="n">
        <v>0.000880991994527062</v>
      </c>
      <c r="F1092" s="7" t="n">
        <v>0.135981748546298</v>
      </c>
    </row>
    <row r="1093" customFormat="false" ht="15" hidden="false" customHeight="true" outlineLevel="0" collapsed="false">
      <c r="A1093" s="5" t="s">
        <v>88</v>
      </c>
      <c r="B1093" s="5" t="s">
        <v>79</v>
      </c>
      <c r="C1093" s="5" t="s">
        <v>679</v>
      </c>
      <c r="D1093" s="6" t="n">
        <v>0.00117519191058656</v>
      </c>
      <c r="E1093" s="6" t="n">
        <v>0.000876157985636659</v>
      </c>
      <c r="F1093" s="7" t="n">
        <v>0.179822623663358</v>
      </c>
    </row>
    <row r="1094" customFormat="false" ht="15" hidden="false" customHeight="true" outlineLevel="0" collapsed="false">
      <c r="A1094" s="5" t="s">
        <v>88</v>
      </c>
      <c r="B1094" s="5" t="s">
        <v>79</v>
      </c>
      <c r="C1094" s="5" t="s">
        <v>680</v>
      </c>
      <c r="D1094" s="6" t="n">
        <v>0.00129745423435667</v>
      </c>
      <c r="E1094" s="6" t="n">
        <v>0.000880313692668449</v>
      </c>
      <c r="F1094" s="7" t="n">
        <v>0.14052078994974</v>
      </c>
    </row>
    <row r="1095" customFormat="false" ht="15" hidden="false" customHeight="true" outlineLevel="0" collapsed="false">
      <c r="A1095" s="5" t="s">
        <v>88</v>
      </c>
      <c r="B1095" s="5" t="s">
        <v>79</v>
      </c>
      <c r="C1095" s="5" t="s">
        <v>681</v>
      </c>
      <c r="D1095" s="6" t="n">
        <v>0.00125231082020606</v>
      </c>
      <c r="E1095" s="6" t="n">
        <v>0.000879478196546697</v>
      </c>
      <c r="F1095" s="7" t="n">
        <v>0.154468240233373</v>
      </c>
    </row>
    <row r="1096" customFormat="false" ht="15" hidden="false" customHeight="true" outlineLevel="0" collapsed="false">
      <c r="A1096" s="5" t="s">
        <v>88</v>
      </c>
      <c r="B1096" s="5" t="s">
        <v>79</v>
      </c>
      <c r="C1096" s="5" t="s">
        <v>682</v>
      </c>
      <c r="D1096" s="6" t="n">
        <v>0.00129839039337064</v>
      </c>
      <c r="E1096" s="6" t="n">
        <v>0.00087976480049876</v>
      </c>
      <c r="F1096" s="7" t="n">
        <v>0.139987365537052</v>
      </c>
    </row>
    <row r="1097" customFormat="false" ht="15" hidden="false" customHeight="true" outlineLevel="0" collapsed="false">
      <c r="A1097" s="5" t="s">
        <v>88</v>
      </c>
      <c r="B1097" s="5" t="s">
        <v>79</v>
      </c>
      <c r="C1097" s="5" t="s">
        <v>683</v>
      </c>
      <c r="D1097" s="6" t="n">
        <v>0.00126619889992768</v>
      </c>
      <c r="E1097" s="6" t="n">
        <v>0.000879945155931607</v>
      </c>
      <c r="F1097" s="7" t="n">
        <v>0.150164104293927</v>
      </c>
    </row>
    <row r="1098" customFormat="false" ht="15" hidden="false" customHeight="true" outlineLevel="0" collapsed="false">
      <c r="A1098" s="5" t="s">
        <v>88</v>
      </c>
      <c r="B1098" s="5" t="s">
        <v>79</v>
      </c>
      <c r="C1098" s="5" t="s">
        <v>684</v>
      </c>
      <c r="D1098" s="6" t="n">
        <v>0.00133038096750126</v>
      </c>
      <c r="E1098" s="6" t="n">
        <v>0.000879698121237952</v>
      </c>
      <c r="F1098" s="7" t="n">
        <v>0.13045365923424</v>
      </c>
    </row>
    <row r="1099" customFormat="false" ht="15" hidden="false" customHeight="true" outlineLevel="0" collapsed="false">
      <c r="A1099" s="5" t="s">
        <v>88</v>
      </c>
      <c r="B1099" s="5" t="s">
        <v>79</v>
      </c>
      <c r="C1099" s="5" t="s">
        <v>685</v>
      </c>
      <c r="D1099" s="6" t="n">
        <v>0.00124778331796951</v>
      </c>
      <c r="E1099" s="6" t="n">
        <v>0.000878105471677061</v>
      </c>
      <c r="F1099" s="7" t="n">
        <v>0.155318268233446</v>
      </c>
    </row>
    <row r="1100" customFormat="false" ht="15" hidden="false" customHeight="true" outlineLevel="0" collapsed="false">
      <c r="A1100" s="5" t="s">
        <v>88</v>
      </c>
      <c r="B1100" s="5" t="s">
        <v>79</v>
      </c>
      <c r="C1100" s="5" t="s">
        <v>686</v>
      </c>
      <c r="D1100" s="6" t="n">
        <v>0.00124144801151795</v>
      </c>
      <c r="E1100" s="6" t="n">
        <v>0.000877382453587266</v>
      </c>
      <c r="F1100" s="7" t="n">
        <v>0.157084590612464</v>
      </c>
    </row>
    <row r="1101" customFormat="false" ht="15" hidden="false" customHeight="true" outlineLevel="0" collapsed="false">
      <c r="A1101" s="5" t="s">
        <v>88</v>
      </c>
      <c r="B1101" s="5" t="s">
        <v>79</v>
      </c>
      <c r="C1101" s="5" t="s">
        <v>687</v>
      </c>
      <c r="D1101" s="6" t="n">
        <v>0.00131335415169609</v>
      </c>
      <c r="E1101" s="6" t="n">
        <v>0.000879571898690412</v>
      </c>
      <c r="F1101" s="7" t="n">
        <v>0.135391568273725</v>
      </c>
    </row>
    <row r="1102" customFormat="false" ht="15" hidden="false" customHeight="true" outlineLevel="0" collapsed="false">
      <c r="A1102" s="5" t="s">
        <v>88</v>
      </c>
      <c r="B1102" s="5" t="s">
        <v>79</v>
      </c>
      <c r="C1102" s="5" t="s">
        <v>789</v>
      </c>
      <c r="D1102" s="6" t="n">
        <v>0.0013373224835075</v>
      </c>
      <c r="E1102" s="6" t="n">
        <v>0.000878197729900284</v>
      </c>
      <c r="F1102" s="7" t="n">
        <v>0.127807900656746</v>
      </c>
    </row>
    <row r="1103" customFormat="false" ht="15" hidden="false" customHeight="true" outlineLevel="0" collapsed="false">
      <c r="A1103" s="5" t="s">
        <v>88</v>
      </c>
      <c r="B1103" s="5" t="s">
        <v>79</v>
      </c>
      <c r="C1103" s="5" t="s">
        <v>688</v>
      </c>
      <c r="D1103" s="6" t="n">
        <v>0.00128041611958278</v>
      </c>
      <c r="E1103" s="6" t="n">
        <v>0.000880029195501929</v>
      </c>
      <c r="F1103" s="7" t="n">
        <v>0.145677554077282</v>
      </c>
    </row>
    <row r="1104" customFormat="false" ht="15" hidden="false" customHeight="true" outlineLevel="0" collapsed="false">
      <c r="A1104" s="5" t="s">
        <v>88</v>
      </c>
      <c r="B1104" s="5" t="s">
        <v>79</v>
      </c>
      <c r="C1104" s="5" t="s">
        <v>689</v>
      </c>
      <c r="D1104" s="6" t="n">
        <v>0.0013005102458346</v>
      </c>
      <c r="E1104" s="6" t="n">
        <v>0.000879856946813863</v>
      </c>
      <c r="F1104" s="7" t="n">
        <v>0.139382932557483</v>
      </c>
    </row>
    <row r="1105" customFormat="false" ht="15" hidden="false" customHeight="true" outlineLevel="0" collapsed="false">
      <c r="A1105" s="5" t="s">
        <v>88</v>
      </c>
      <c r="B1105" s="5" t="s">
        <v>79</v>
      </c>
      <c r="C1105" s="5" t="s">
        <v>690</v>
      </c>
      <c r="D1105" s="6" t="n">
        <v>0.00133708935090433</v>
      </c>
      <c r="E1105" s="6" t="n">
        <v>0.00087764138885445</v>
      </c>
      <c r="F1105" s="7" t="n">
        <v>0.127632893042185</v>
      </c>
    </row>
    <row r="1106" customFormat="false" ht="15" hidden="false" customHeight="true" outlineLevel="0" collapsed="false">
      <c r="A1106" s="5" t="s">
        <v>88</v>
      </c>
      <c r="B1106" s="5" t="s">
        <v>79</v>
      </c>
      <c r="C1106" s="5" t="s">
        <v>691</v>
      </c>
      <c r="D1106" s="6" t="n">
        <v>0.0013428983560716</v>
      </c>
      <c r="E1106" s="6" t="n">
        <v>0.00087701566740822</v>
      </c>
      <c r="F1106" s="7" t="n">
        <v>0.12571659976738</v>
      </c>
    </row>
    <row r="1107" customFormat="false" ht="15" hidden="false" customHeight="true" outlineLevel="0" collapsed="false">
      <c r="A1107" s="5" t="s">
        <v>88</v>
      </c>
      <c r="B1107" s="5" t="s">
        <v>79</v>
      </c>
      <c r="C1107" s="5" t="s">
        <v>692</v>
      </c>
      <c r="D1107" s="6" t="n">
        <v>0.00129941947262957</v>
      </c>
      <c r="E1107" s="6" t="n">
        <v>0.000880532116811756</v>
      </c>
      <c r="F1107" s="7" t="n">
        <v>0.140018886361118</v>
      </c>
    </row>
    <row r="1108" customFormat="false" ht="15" hidden="false" customHeight="true" outlineLevel="0" collapsed="false">
      <c r="A1108" s="5" t="s">
        <v>88</v>
      </c>
      <c r="B1108" s="5" t="s">
        <v>79</v>
      </c>
      <c r="C1108" s="5" t="s">
        <v>693</v>
      </c>
      <c r="D1108" s="6" t="n">
        <v>0.0013047328863016</v>
      </c>
      <c r="E1108" s="6" t="n">
        <v>0.000879422946543563</v>
      </c>
      <c r="F1108" s="7" t="n">
        <v>0.137908729888267</v>
      </c>
    </row>
    <row r="1109" customFormat="false" ht="15" hidden="false" customHeight="true" outlineLevel="0" collapsed="false">
      <c r="A1109" s="5" t="s">
        <v>88</v>
      </c>
      <c r="B1109" s="5" t="s">
        <v>79</v>
      </c>
      <c r="C1109" s="5" t="s">
        <v>694</v>
      </c>
      <c r="D1109" s="6" t="n">
        <v>0.00127433709691206</v>
      </c>
      <c r="E1109" s="6" t="n">
        <v>0.000879619767664037</v>
      </c>
      <c r="F1109" s="7" t="n">
        <v>0.147411236042484</v>
      </c>
    </row>
    <row r="1110" customFormat="false" ht="15" hidden="false" customHeight="true" outlineLevel="0" collapsed="false">
      <c r="A1110" s="5" t="s">
        <v>88</v>
      </c>
      <c r="B1110" s="5" t="s">
        <v>79</v>
      </c>
      <c r="C1110" s="5" t="s">
        <v>695</v>
      </c>
      <c r="D1110" s="6" t="n">
        <v>0.00130819026198147</v>
      </c>
      <c r="E1110" s="6" t="n">
        <v>0.000879854530129283</v>
      </c>
      <c r="F1110" s="7" t="n">
        <v>0.13706087163836</v>
      </c>
    </row>
    <row r="1111" customFormat="false" ht="15" hidden="false" customHeight="true" outlineLevel="0" collapsed="false">
      <c r="A1111" s="5" t="s">
        <v>88</v>
      </c>
      <c r="B1111" s="5" t="s">
        <v>79</v>
      </c>
      <c r="C1111" s="5" t="s">
        <v>696</v>
      </c>
      <c r="D1111" s="6" t="n">
        <v>0.0012493939018489</v>
      </c>
      <c r="E1111" s="6" t="n">
        <v>0.000879079805878709</v>
      </c>
      <c r="F1111" s="7" t="n">
        <v>0.155243522434424</v>
      </c>
    </row>
    <row r="1112" customFormat="false" ht="15" hidden="false" customHeight="true" outlineLevel="0" collapsed="false">
      <c r="A1112" s="5" t="s">
        <v>88</v>
      </c>
      <c r="B1112" s="5" t="s">
        <v>79</v>
      </c>
      <c r="C1112" s="5" t="s">
        <v>697</v>
      </c>
      <c r="D1112" s="6" t="n">
        <v>0.00122884566274017</v>
      </c>
      <c r="E1112" s="6" t="n">
        <v>0.00087894478072716</v>
      </c>
      <c r="F1112" s="7" t="n">
        <v>0.162085443159565</v>
      </c>
    </row>
    <row r="1113" customFormat="false" ht="15" hidden="false" customHeight="true" outlineLevel="0" collapsed="false">
      <c r="A1113" s="5" t="s">
        <v>88</v>
      </c>
      <c r="B1113" s="5" t="s">
        <v>79</v>
      </c>
      <c r="C1113" s="5" t="s">
        <v>698</v>
      </c>
      <c r="D1113" s="6" t="n">
        <v>0.00132571550843297</v>
      </c>
      <c r="E1113" s="6" t="n">
        <v>0.000879287443670327</v>
      </c>
      <c r="F1113" s="7" t="n">
        <v>0.131627298327297</v>
      </c>
    </row>
    <row r="1114" customFormat="false" ht="15" hidden="false" customHeight="true" outlineLevel="0" collapsed="false">
      <c r="A1114" s="5" t="s">
        <v>88</v>
      </c>
      <c r="B1114" s="5" t="s">
        <v>79</v>
      </c>
      <c r="C1114" s="5" t="s">
        <v>699</v>
      </c>
      <c r="D1114" s="6" t="n">
        <v>0.00123663830840713</v>
      </c>
      <c r="E1114" s="6" t="n">
        <v>0.00087887931022315</v>
      </c>
      <c r="F1114" s="7" t="n">
        <v>0.15940879288114</v>
      </c>
    </row>
    <row r="1115" customFormat="false" ht="15" hidden="false" customHeight="true" outlineLevel="0" collapsed="false">
      <c r="A1115" s="5" t="s">
        <v>88</v>
      </c>
      <c r="B1115" s="5" t="s">
        <v>79</v>
      </c>
      <c r="C1115" s="5" t="s">
        <v>700</v>
      </c>
      <c r="D1115" s="6" t="n">
        <v>0.00130214963723027</v>
      </c>
      <c r="E1115" s="6" t="n">
        <v>0.000879596614045131</v>
      </c>
      <c r="F1115" s="7" t="n">
        <v>0.138768103805589</v>
      </c>
    </row>
    <row r="1116" customFormat="false" ht="15" hidden="false" customHeight="true" outlineLevel="0" collapsed="false">
      <c r="A1116" s="5" t="s">
        <v>88</v>
      </c>
      <c r="B1116" s="5" t="s">
        <v>79</v>
      </c>
      <c r="C1116" s="5" t="s">
        <v>701</v>
      </c>
      <c r="D1116" s="6" t="n">
        <v>0.00135708956457658</v>
      </c>
      <c r="E1116" s="6" t="n">
        <v>0.000878036646479214</v>
      </c>
      <c r="F1116" s="7" t="n">
        <v>0.12220226805519</v>
      </c>
    </row>
    <row r="1117" customFormat="false" ht="15" hidden="false" customHeight="true" outlineLevel="0" collapsed="false">
      <c r="A1117" s="5" t="s">
        <v>88</v>
      </c>
      <c r="B1117" s="5" t="s">
        <v>79</v>
      </c>
      <c r="C1117" s="5" t="s">
        <v>702</v>
      </c>
      <c r="D1117" s="6" t="n">
        <v>0.00124958857346808</v>
      </c>
      <c r="E1117" s="6" t="n">
        <v>0.000878640313627232</v>
      </c>
      <c r="F1117" s="7" t="n">
        <v>0.154972717603276</v>
      </c>
    </row>
    <row r="1118" customFormat="false" ht="15" hidden="false" customHeight="true" outlineLevel="0" collapsed="false">
      <c r="A1118" s="5" t="s">
        <v>88</v>
      </c>
      <c r="B1118" s="5" t="s">
        <v>79</v>
      </c>
      <c r="C1118" s="5" t="s">
        <v>703</v>
      </c>
      <c r="D1118" s="6" t="n">
        <v>0.00127322134638705</v>
      </c>
      <c r="E1118" s="6" t="n">
        <v>0.000879534085333993</v>
      </c>
      <c r="F1118" s="7" t="n">
        <v>0.147726468120882</v>
      </c>
    </row>
    <row r="1119" customFormat="false" ht="15" hidden="false" customHeight="true" outlineLevel="0" collapsed="false">
      <c r="A1119" s="5" t="s">
        <v>88</v>
      </c>
      <c r="B1119" s="5" t="s">
        <v>79</v>
      </c>
      <c r="C1119" s="5" t="s">
        <v>704</v>
      </c>
      <c r="D1119" s="6" t="n">
        <v>0.00129947491688088</v>
      </c>
      <c r="E1119" s="6" t="n">
        <v>0.000879670228345529</v>
      </c>
      <c r="F1119" s="7" t="n">
        <v>0.139614096559274</v>
      </c>
    </row>
    <row r="1120" customFormat="false" ht="15" hidden="false" customHeight="true" outlineLevel="0" collapsed="false">
      <c r="A1120" s="5" t="s">
        <v>88</v>
      </c>
      <c r="B1120" s="5" t="s">
        <v>79</v>
      </c>
      <c r="C1120" s="5" t="s">
        <v>705</v>
      </c>
      <c r="D1120" s="6" t="n">
        <v>0.00136001042637028</v>
      </c>
      <c r="E1120" s="6" t="n">
        <v>0.000876084008387508</v>
      </c>
      <c r="F1120" s="7" t="n">
        <v>0.120572654433214</v>
      </c>
    </row>
    <row r="1121" customFormat="false" ht="15" hidden="false" customHeight="true" outlineLevel="0" collapsed="false">
      <c r="A1121" s="5" t="s">
        <v>88</v>
      </c>
      <c r="B1121" s="5" t="s">
        <v>79</v>
      </c>
      <c r="C1121" s="5" t="s">
        <v>706</v>
      </c>
      <c r="D1121" s="6" t="n">
        <v>0.00130750205176118</v>
      </c>
      <c r="E1121" s="6" t="n">
        <v>0.00087987151123917</v>
      </c>
      <c r="F1121" s="7" t="n">
        <v>0.137275217178611</v>
      </c>
    </row>
    <row r="1122" customFormat="false" ht="15" hidden="false" customHeight="true" outlineLevel="0" collapsed="false">
      <c r="A1122" s="5" t="s">
        <v>88</v>
      </c>
      <c r="B1122" s="5" t="s">
        <v>79</v>
      </c>
      <c r="C1122" s="5" t="s">
        <v>707</v>
      </c>
      <c r="D1122" s="6" t="n">
        <v>0.00126539881937916</v>
      </c>
      <c r="E1122" s="6" t="n">
        <v>0.00087967561965902</v>
      </c>
      <c r="F1122" s="7" t="n">
        <v>0.150296930245616</v>
      </c>
    </row>
    <row r="1123" customFormat="false" ht="15" hidden="false" customHeight="true" outlineLevel="0" collapsed="false">
      <c r="A1123" s="5" t="s">
        <v>88</v>
      </c>
      <c r="B1123" s="5" t="s">
        <v>79</v>
      </c>
      <c r="C1123" s="5" t="s">
        <v>708</v>
      </c>
      <c r="D1123" s="6" t="n">
        <v>0.00123081886887624</v>
      </c>
      <c r="E1123" s="6" t="n">
        <v>0.00087833373922309</v>
      </c>
      <c r="F1123" s="7" t="n">
        <v>0.16112104611058</v>
      </c>
    </row>
    <row r="1124" customFormat="false" ht="15" hidden="false" customHeight="true" outlineLevel="0" collapsed="false">
      <c r="A1124" s="5" t="s">
        <v>88</v>
      </c>
      <c r="B1124" s="5" t="s">
        <v>79</v>
      </c>
      <c r="C1124" s="5" t="s">
        <v>186</v>
      </c>
      <c r="D1124" s="6" t="n">
        <v>0.00139226623687357</v>
      </c>
      <c r="E1124" s="6" t="n">
        <v>0.000875682888299851</v>
      </c>
      <c r="F1124" s="7" t="n">
        <v>0.111852710367895</v>
      </c>
    </row>
    <row r="1125" customFormat="false" ht="15" hidden="false" customHeight="true" outlineLevel="0" collapsed="false">
      <c r="A1125" s="5" t="s">
        <v>88</v>
      </c>
      <c r="B1125" s="5" t="s">
        <v>79</v>
      </c>
      <c r="C1125" s="5" t="s">
        <v>709</v>
      </c>
      <c r="D1125" s="6" t="n">
        <v>0.00137507192196227</v>
      </c>
      <c r="E1125" s="6" t="n">
        <v>0.000878728791123978</v>
      </c>
      <c r="F1125" s="7" t="n">
        <v>0.117619906850141</v>
      </c>
    </row>
    <row r="1126" customFormat="false" ht="15" hidden="false" customHeight="true" outlineLevel="0" collapsed="false">
      <c r="A1126" s="5" t="s">
        <v>88</v>
      </c>
      <c r="B1126" s="5" t="s">
        <v>79</v>
      </c>
      <c r="C1126" s="5" t="s">
        <v>710</v>
      </c>
      <c r="D1126" s="6" t="n">
        <v>0.00132457401101654</v>
      </c>
      <c r="E1126" s="6" t="n">
        <v>0.000877990195435777</v>
      </c>
      <c r="F1126" s="7" t="n">
        <v>0.13138996679873</v>
      </c>
    </row>
    <row r="1127" customFormat="false" ht="15" hidden="false" customHeight="true" outlineLevel="0" collapsed="false">
      <c r="A1127" s="5" t="s">
        <v>88</v>
      </c>
      <c r="B1127" s="5" t="s">
        <v>79</v>
      </c>
      <c r="C1127" s="5" t="s">
        <v>711</v>
      </c>
      <c r="D1127" s="6" t="n">
        <v>0.00128131732979885</v>
      </c>
      <c r="E1127" s="6" t="n">
        <v>0.000879953723245563</v>
      </c>
      <c r="F1127" s="7" t="n">
        <v>0.145359727832696</v>
      </c>
    </row>
    <row r="1128" customFormat="false" ht="15" hidden="false" customHeight="true" outlineLevel="0" collapsed="false">
      <c r="A1128" s="5" t="s">
        <v>88</v>
      </c>
      <c r="B1128" s="5" t="s">
        <v>79</v>
      </c>
      <c r="C1128" s="5" t="s">
        <v>712</v>
      </c>
      <c r="D1128" s="6" t="n">
        <v>0.0012637788046422</v>
      </c>
      <c r="E1128" s="6" t="n">
        <v>0.000879487526739601</v>
      </c>
      <c r="F1128" s="7" t="n">
        <v>0.15073245871455</v>
      </c>
    </row>
    <row r="1129" customFormat="false" ht="15" hidden="false" customHeight="true" outlineLevel="0" collapsed="false">
      <c r="A1129" s="5" t="s">
        <v>88</v>
      </c>
      <c r="B1129" s="5" t="s">
        <v>79</v>
      </c>
      <c r="C1129" s="5" t="s">
        <v>713</v>
      </c>
      <c r="D1129" s="6" t="n">
        <v>0.00129414677166366</v>
      </c>
      <c r="E1129" s="6" t="n">
        <v>0.000879803527394352</v>
      </c>
      <c r="F1129" s="7" t="n">
        <v>0.141304709045473</v>
      </c>
    </row>
    <row r="1130" customFormat="false" ht="15" hidden="false" customHeight="true" outlineLevel="0" collapsed="false">
      <c r="A1130" s="5" t="s">
        <v>88</v>
      </c>
      <c r="B1130" s="5" t="s">
        <v>79</v>
      </c>
      <c r="C1130" s="5" t="s">
        <v>714</v>
      </c>
      <c r="D1130" s="6" t="n">
        <v>0.00122274792296059</v>
      </c>
      <c r="E1130" s="6" t="n">
        <v>0.000877919539332847</v>
      </c>
      <c r="F1130" s="7" t="n">
        <v>0.16368662204324</v>
      </c>
    </row>
    <row r="1131" customFormat="false" ht="15" hidden="false" customHeight="true" outlineLevel="0" collapsed="false">
      <c r="A1131" s="5" t="s">
        <v>88</v>
      </c>
      <c r="B1131" s="5" t="s">
        <v>79</v>
      </c>
      <c r="C1131" s="5" t="s">
        <v>715</v>
      </c>
      <c r="D1131" s="6" t="n">
        <v>0.00132719473762739</v>
      </c>
      <c r="E1131" s="6" t="n">
        <v>0.000878311740364843</v>
      </c>
      <c r="F1131" s="7" t="n">
        <v>0.130769394285085</v>
      </c>
    </row>
    <row r="1132" customFormat="false" ht="15" hidden="false" customHeight="true" outlineLevel="0" collapsed="false">
      <c r="A1132" s="5" t="s">
        <v>88</v>
      </c>
      <c r="B1132" s="5" t="s">
        <v>79</v>
      </c>
      <c r="C1132" s="5" t="s">
        <v>716</v>
      </c>
      <c r="D1132" s="6" t="n">
        <v>0.00133863722582294</v>
      </c>
      <c r="E1132" s="6" t="n">
        <v>0.000876334583380159</v>
      </c>
      <c r="F1132" s="7" t="n">
        <v>0.126626477758803</v>
      </c>
    </row>
    <row r="1133" customFormat="false" ht="15" hidden="false" customHeight="true" outlineLevel="0" collapsed="false">
      <c r="A1133" s="5" t="s">
        <v>88</v>
      </c>
      <c r="B1133" s="5" t="s">
        <v>79</v>
      </c>
      <c r="C1133" s="5" t="s">
        <v>717</v>
      </c>
      <c r="D1133" s="6" t="n">
        <v>0.00123206059538137</v>
      </c>
      <c r="E1133" s="6" t="n">
        <v>0.000879044818260868</v>
      </c>
      <c r="F1133" s="7" t="n">
        <v>0.161037657578377</v>
      </c>
    </row>
    <row r="1134" customFormat="false" ht="15" hidden="false" customHeight="true" outlineLevel="0" collapsed="false">
      <c r="A1134" s="5" t="s">
        <v>88</v>
      </c>
      <c r="B1134" s="5" t="s">
        <v>79</v>
      </c>
      <c r="C1134" s="5" t="s">
        <v>718</v>
      </c>
      <c r="D1134" s="6" t="n">
        <v>0.00132646584502114</v>
      </c>
      <c r="E1134" s="6" t="n">
        <v>0.000878002662507916</v>
      </c>
      <c r="F1134" s="7" t="n">
        <v>0.130845387859079</v>
      </c>
    </row>
    <row r="1135" customFormat="false" ht="15" hidden="false" customHeight="true" outlineLevel="0" collapsed="false">
      <c r="A1135" s="5" t="s">
        <v>88</v>
      </c>
      <c r="B1135" s="5" t="s">
        <v>79</v>
      </c>
      <c r="C1135" s="5" t="s">
        <v>719</v>
      </c>
      <c r="D1135" s="6" t="n">
        <v>0.00130258531239021</v>
      </c>
      <c r="E1135" s="6" t="n">
        <v>0.000879748323402002</v>
      </c>
      <c r="F1135" s="7" t="n">
        <v>0.13870411997018</v>
      </c>
    </row>
    <row r="1136" customFormat="false" ht="15" hidden="false" customHeight="true" outlineLevel="0" collapsed="false">
      <c r="A1136" s="5" t="s">
        <v>88</v>
      </c>
      <c r="B1136" s="5" t="s">
        <v>79</v>
      </c>
      <c r="C1136" s="5" t="s">
        <v>720</v>
      </c>
      <c r="D1136" s="6" t="n">
        <v>0.00130860861685845</v>
      </c>
      <c r="E1136" s="6" t="n">
        <v>0.000879468673191359</v>
      </c>
      <c r="F1136" s="7" t="n">
        <v>0.136763119167201</v>
      </c>
    </row>
    <row r="1137" customFormat="false" ht="15" hidden="false" customHeight="true" outlineLevel="0" collapsed="false">
      <c r="A1137" s="5" t="s">
        <v>88</v>
      </c>
      <c r="B1137" s="5" t="s">
        <v>79</v>
      </c>
      <c r="C1137" s="5" t="s">
        <v>721</v>
      </c>
      <c r="D1137" s="6" t="n">
        <v>0.00119876671099701</v>
      </c>
      <c r="E1137" s="6" t="n">
        <v>0.000875311436491227</v>
      </c>
      <c r="F1137" s="7" t="n">
        <v>0.170833150146379</v>
      </c>
    </row>
    <row r="1138" customFormat="false" ht="15" hidden="false" customHeight="true" outlineLevel="0" collapsed="false">
      <c r="A1138" s="5" t="s">
        <v>88</v>
      </c>
      <c r="B1138" s="5" t="s">
        <v>79</v>
      </c>
      <c r="C1138" s="5" t="s">
        <v>722</v>
      </c>
      <c r="D1138" s="6" t="n">
        <v>0.00130639025950216</v>
      </c>
      <c r="E1138" s="6" t="n">
        <v>0.000881009977784428</v>
      </c>
      <c r="F1138" s="7" t="n">
        <v>0.138118909355145</v>
      </c>
    </row>
    <row r="1139" customFormat="false" ht="15" hidden="false" customHeight="true" outlineLevel="0" collapsed="false">
      <c r="A1139" s="5" t="s">
        <v>88</v>
      </c>
      <c r="B1139" s="5" t="s">
        <v>79</v>
      </c>
      <c r="C1139" s="5" t="s">
        <v>723</v>
      </c>
      <c r="D1139" s="6" t="n">
        <v>0.00125645713055472</v>
      </c>
      <c r="E1139" s="6" t="n">
        <v>0.000880400952813803</v>
      </c>
      <c r="F1139" s="7" t="n">
        <v>0.153538983523628</v>
      </c>
    </row>
    <row r="1140" customFormat="false" ht="15" hidden="false" customHeight="true" outlineLevel="0" collapsed="false">
      <c r="A1140" s="5" t="s">
        <v>88</v>
      </c>
      <c r="B1140" s="5" t="s">
        <v>79</v>
      </c>
      <c r="C1140" s="5" t="s">
        <v>724</v>
      </c>
      <c r="D1140" s="6" t="n">
        <v>0.00128443218251623</v>
      </c>
      <c r="E1140" s="6" t="n">
        <v>0.000880096430048983</v>
      </c>
      <c r="F1140" s="7" t="n">
        <v>0.144448966240124</v>
      </c>
    </row>
    <row r="1141" customFormat="false" ht="15" hidden="false" customHeight="true" outlineLevel="0" collapsed="false">
      <c r="A1141" s="5" t="s">
        <v>88</v>
      </c>
      <c r="B1141" s="5" t="s">
        <v>79</v>
      </c>
      <c r="C1141" s="5" t="s">
        <v>725</v>
      </c>
      <c r="D1141" s="6" t="n">
        <v>0.00132194092478449</v>
      </c>
      <c r="E1141" s="6" t="n">
        <v>0.000878180433769123</v>
      </c>
      <c r="F1141" s="7" t="n">
        <v>0.132242307259813</v>
      </c>
    </row>
    <row r="1142" customFormat="false" ht="15" hidden="false" customHeight="true" outlineLevel="0" collapsed="false">
      <c r="A1142" s="5" t="s">
        <v>88</v>
      </c>
      <c r="B1142" s="5" t="s">
        <v>79</v>
      </c>
      <c r="C1142" s="5" t="s">
        <v>726</v>
      </c>
      <c r="D1142" s="6" t="n">
        <v>0.00127021468594126</v>
      </c>
      <c r="E1142" s="6" t="n">
        <v>0.00087972961222963</v>
      </c>
      <c r="F1142" s="7" t="n">
        <v>0.148775709698688</v>
      </c>
    </row>
    <row r="1143" customFormat="false" ht="15" hidden="false" customHeight="true" outlineLevel="0" collapsed="false">
      <c r="A1143" s="5" t="s">
        <v>88</v>
      </c>
      <c r="B1143" s="5" t="s">
        <v>79</v>
      </c>
      <c r="C1143" s="5" t="s">
        <v>727</v>
      </c>
      <c r="D1143" s="6" t="n">
        <v>0.00130842143865745</v>
      </c>
      <c r="E1143" s="6" t="n">
        <v>0.000879457161218429</v>
      </c>
      <c r="F1143" s="7" t="n">
        <v>0.136814122248709</v>
      </c>
    </row>
    <row r="1144" customFormat="false" ht="15" hidden="false" customHeight="true" outlineLevel="0" collapsed="false">
      <c r="A1144" s="5" t="s">
        <v>88</v>
      </c>
      <c r="B1144" s="5" t="s">
        <v>79</v>
      </c>
      <c r="C1144" s="5" t="s">
        <v>728</v>
      </c>
      <c r="D1144" s="6" t="n">
        <v>0.00130461191281389</v>
      </c>
      <c r="E1144" s="6" t="n">
        <v>0.000879546530350289</v>
      </c>
      <c r="F1144" s="7" t="n">
        <v>0.138000596866933</v>
      </c>
    </row>
    <row r="1145" customFormat="false" ht="15" hidden="false" customHeight="true" outlineLevel="0" collapsed="false">
      <c r="A1145" s="5" t="s">
        <v>88</v>
      </c>
      <c r="B1145" s="5" t="s">
        <v>79</v>
      </c>
      <c r="C1145" s="5" t="s">
        <v>729</v>
      </c>
      <c r="D1145" s="6" t="n">
        <v>0.00128596515575524</v>
      </c>
      <c r="E1145" s="6" t="n">
        <v>0.000879910607836102</v>
      </c>
      <c r="F1145" s="7" t="n">
        <v>0.143885817088576</v>
      </c>
    </row>
    <row r="1146" customFormat="false" ht="15" hidden="false" customHeight="true" outlineLevel="0" collapsed="false">
      <c r="A1146" s="5" t="s">
        <v>88</v>
      </c>
      <c r="B1146" s="5" t="s">
        <v>79</v>
      </c>
      <c r="C1146" s="5" t="s">
        <v>730</v>
      </c>
      <c r="D1146" s="6" t="n">
        <v>0.0013083687552785</v>
      </c>
      <c r="E1146" s="6" t="n">
        <v>0.000879479546799851</v>
      </c>
      <c r="F1146" s="7" t="n">
        <v>0.136839917642702</v>
      </c>
    </row>
    <row r="1147" customFormat="false" ht="15" hidden="false" customHeight="true" outlineLevel="0" collapsed="false">
      <c r="A1147" s="5" t="s">
        <v>88</v>
      </c>
      <c r="B1147" s="5" t="s">
        <v>79</v>
      </c>
      <c r="C1147" s="5" t="s">
        <v>731</v>
      </c>
      <c r="D1147" s="6" t="n">
        <v>0.00129491821269656</v>
      </c>
      <c r="E1147" s="6" t="n">
        <v>0.000881503224900554</v>
      </c>
      <c r="F1147" s="7" t="n">
        <v>0.141835873796983</v>
      </c>
    </row>
    <row r="1148" customFormat="false" ht="15" hidden="false" customHeight="true" outlineLevel="0" collapsed="false">
      <c r="A1148" s="5" t="s">
        <v>88</v>
      </c>
      <c r="B1148" s="5" t="s">
        <v>79</v>
      </c>
      <c r="C1148" s="5" t="s">
        <v>190</v>
      </c>
      <c r="D1148" s="6" t="n">
        <v>0.00115259252343211</v>
      </c>
      <c r="E1148" s="6" t="n">
        <v>0.000874928388906632</v>
      </c>
      <c r="F1148" s="7" t="n">
        <v>0.187719184144952</v>
      </c>
    </row>
    <row r="1149" customFormat="false" ht="15" hidden="false" customHeight="true" outlineLevel="0" collapsed="false">
      <c r="A1149" s="5" t="s">
        <v>88</v>
      </c>
      <c r="B1149" s="5" t="s">
        <v>79</v>
      </c>
      <c r="C1149" s="5" t="s">
        <v>732</v>
      </c>
      <c r="D1149" s="6" t="n">
        <v>0.00128622880797139</v>
      </c>
      <c r="E1149" s="6" t="n">
        <v>0.000879795161578109</v>
      </c>
      <c r="F1149" s="7" t="n">
        <v>0.143751089467937</v>
      </c>
    </row>
    <row r="1150" customFormat="false" ht="15" hidden="false" customHeight="true" outlineLevel="0" collapsed="false">
      <c r="A1150" s="5" t="s">
        <v>88</v>
      </c>
      <c r="B1150" s="5" t="s">
        <v>79</v>
      </c>
      <c r="C1150" s="5" t="s">
        <v>790</v>
      </c>
      <c r="D1150" s="6" t="n">
        <v>0.0012383467028291</v>
      </c>
      <c r="E1150" s="6" t="n">
        <v>0.000879219936589314</v>
      </c>
      <c r="F1150" s="7" t="n">
        <v>0.158994704481065</v>
      </c>
    </row>
    <row r="1151" customFormat="false" ht="15" hidden="false" customHeight="true" outlineLevel="0" collapsed="false">
      <c r="A1151" s="5" t="s">
        <v>88</v>
      </c>
      <c r="B1151" s="5" t="s">
        <v>79</v>
      </c>
      <c r="C1151" s="5" t="s">
        <v>733</v>
      </c>
      <c r="D1151" s="6" t="n">
        <v>0.00128562372412754</v>
      </c>
      <c r="E1151" s="6" t="n">
        <v>0.000880513955717332</v>
      </c>
      <c r="F1151" s="7" t="n">
        <v>0.144267181114343</v>
      </c>
    </row>
    <row r="1152" customFormat="false" ht="15" hidden="false" customHeight="true" outlineLevel="0" collapsed="false">
      <c r="A1152" s="5" t="s">
        <v>88</v>
      </c>
      <c r="B1152" s="5" t="s">
        <v>79</v>
      </c>
      <c r="C1152" s="5" t="s">
        <v>734</v>
      </c>
      <c r="D1152" s="6" t="n">
        <v>0.00137391202663463</v>
      </c>
      <c r="E1152" s="6" t="n">
        <v>0.000875865535047382</v>
      </c>
      <c r="F1152" s="7" t="n">
        <v>0.116733360085948</v>
      </c>
    </row>
    <row r="1153" customFormat="false" ht="15" hidden="false" customHeight="true" outlineLevel="0" collapsed="false">
      <c r="A1153" s="5" t="s">
        <v>88</v>
      </c>
      <c r="B1153" s="5" t="s">
        <v>79</v>
      </c>
      <c r="C1153" s="5" t="s">
        <v>735</v>
      </c>
      <c r="D1153" s="6" t="n">
        <v>0.00133498990036324</v>
      </c>
      <c r="E1153" s="6" t="n">
        <v>0.000877282279922285</v>
      </c>
      <c r="F1153" s="7" t="n">
        <v>0.128075851173796</v>
      </c>
    </row>
    <row r="1154" customFormat="false" ht="15" hidden="false" customHeight="true" outlineLevel="0" collapsed="false">
      <c r="A1154" s="5" t="s">
        <v>88</v>
      </c>
      <c r="B1154" s="5" t="s">
        <v>79</v>
      </c>
      <c r="C1154" s="5" t="s">
        <v>736</v>
      </c>
      <c r="D1154" s="6" t="n">
        <v>0.0013107426829322</v>
      </c>
      <c r="E1154" s="6" t="n">
        <v>0.000879558189833433</v>
      </c>
      <c r="F1154" s="7" t="n">
        <v>0.136164164779108</v>
      </c>
    </row>
    <row r="1155" customFormat="false" ht="15" hidden="false" customHeight="true" outlineLevel="0" collapsed="false">
      <c r="A1155" s="5" t="s">
        <v>88</v>
      </c>
      <c r="B1155" s="5" t="s">
        <v>79</v>
      </c>
      <c r="C1155" s="5" t="s">
        <v>737</v>
      </c>
      <c r="D1155" s="6" t="n">
        <v>0.00131349020281589</v>
      </c>
      <c r="E1155" s="6" t="n">
        <v>0.000879785799622856</v>
      </c>
      <c r="F1155" s="7" t="n">
        <v>0.135446111854984</v>
      </c>
    </row>
    <row r="1156" customFormat="false" ht="15" hidden="false" customHeight="true" outlineLevel="0" collapsed="false">
      <c r="A1156" s="5" t="s">
        <v>88</v>
      </c>
      <c r="B1156" s="5" t="s">
        <v>79</v>
      </c>
      <c r="C1156" s="5" t="s">
        <v>738</v>
      </c>
      <c r="D1156" s="6" t="n">
        <v>0.00123704350006301</v>
      </c>
      <c r="E1156" s="6" t="n">
        <v>0.000878773589462591</v>
      </c>
      <c r="F1156" s="7" t="n">
        <v>0.159221972035582</v>
      </c>
    </row>
    <row r="1157" customFormat="false" ht="15" hidden="false" customHeight="true" outlineLevel="0" collapsed="false">
      <c r="A1157" s="5" t="s">
        <v>88</v>
      </c>
      <c r="B1157" s="5" t="s">
        <v>79</v>
      </c>
      <c r="C1157" s="5" t="s">
        <v>739</v>
      </c>
      <c r="D1157" s="6" t="n">
        <v>0.00118733958951188</v>
      </c>
      <c r="E1157" s="6" t="n">
        <v>0.000875300533060978</v>
      </c>
      <c r="F1157" s="7" t="n">
        <v>0.174942163645393</v>
      </c>
    </row>
    <row r="1158" customFormat="false" ht="15" hidden="false" customHeight="true" outlineLevel="0" collapsed="false">
      <c r="A1158" s="5" t="s">
        <v>88</v>
      </c>
      <c r="B1158" s="5" t="s">
        <v>79</v>
      </c>
      <c r="C1158" s="5" t="s">
        <v>791</v>
      </c>
      <c r="D1158" s="6" t="n">
        <v>0.00129139729680532</v>
      </c>
      <c r="E1158" s="6" t="n">
        <v>0.000880966765920768</v>
      </c>
      <c r="F1158" s="7" t="n">
        <v>0.14267920798766</v>
      </c>
    </row>
    <row r="1159" customFormat="false" ht="15" hidden="false" customHeight="true" outlineLevel="0" collapsed="false">
      <c r="A1159" s="5" t="s">
        <v>88</v>
      </c>
      <c r="B1159" s="5" t="s">
        <v>79</v>
      </c>
      <c r="C1159" s="5" t="s">
        <v>740</v>
      </c>
      <c r="D1159" s="6" t="n">
        <v>0.0012604651166867</v>
      </c>
      <c r="E1159" s="6" t="n">
        <v>0.000879029183373571</v>
      </c>
      <c r="F1159" s="7" t="n">
        <v>0.151592629423682</v>
      </c>
    </row>
    <row r="1160" customFormat="false" ht="15" hidden="false" customHeight="true" outlineLevel="0" collapsed="false">
      <c r="A1160" s="5" t="s">
        <v>88</v>
      </c>
      <c r="B1160" s="5" t="s">
        <v>79</v>
      </c>
      <c r="C1160" s="5" t="s">
        <v>741</v>
      </c>
      <c r="D1160" s="6" t="n">
        <v>0.00131902440482552</v>
      </c>
      <c r="E1160" s="6" t="n">
        <v>0.000878404656202099</v>
      </c>
      <c r="F1160" s="7" t="n">
        <v>0.133196921089655</v>
      </c>
    </row>
    <row r="1161" customFormat="false" ht="15" hidden="false" customHeight="true" outlineLevel="0" collapsed="false">
      <c r="A1161" s="5" t="s">
        <v>88</v>
      </c>
      <c r="B1161" s="5" t="s">
        <v>79</v>
      </c>
      <c r="C1161" s="5" t="s">
        <v>742</v>
      </c>
      <c r="D1161" s="6" t="n">
        <v>0.00128488823202234</v>
      </c>
      <c r="E1161" s="6" t="n">
        <v>0.000879874364654551</v>
      </c>
      <c r="F1161" s="7" t="n">
        <v>0.144205238836804</v>
      </c>
    </row>
    <row r="1162" customFormat="false" ht="15" hidden="false" customHeight="true" outlineLevel="0" collapsed="false">
      <c r="A1162" s="5" t="s">
        <v>88</v>
      </c>
      <c r="B1162" s="5" t="s">
        <v>79</v>
      </c>
      <c r="C1162" s="5" t="s">
        <v>743</v>
      </c>
      <c r="D1162" s="6" t="n">
        <v>0.00125032006681622</v>
      </c>
      <c r="E1162" s="6" t="n">
        <v>0.00087845176860857</v>
      </c>
      <c r="F1162" s="7" t="n">
        <v>0.154642720558291</v>
      </c>
    </row>
    <row r="1163" customFormat="false" ht="15" hidden="false" customHeight="true" outlineLevel="0" collapsed="false">
      <c r="A1163" s="5" t="s">
        <v>88</v>
      </c>
      <c r="B1163" s="5" t="s">
        <v>79</v>
      </c>
      <c r="C1163" s="5" t="s">
        <v>182</v>
      </c>
      <c r="D1163" s="6" t="n">
        <v>0.00135142922041369</v>
      </c>
      <c r="E1163" s="6" t="n">
        <v>0.000875564796696064</v>
      </c>
      <c r="F1163" s="7" t="n">
        <v>0.122710903982352</v>
      </c>
    </row>
    <row r="1164" customFormat="false" ht="15" hidden="false" customHeight="true" outlineLevel="0" collapsed="false">
      <c r="A1164" s="5" t="s">
        <v>88</v>
      </c>
      <c r="B1164" s="5" t="s">
        <v>79</v>
      </c>
      <c r="C1164" s="5" t="s">
        <v>744</v>
      </c>
      <c r="D1164" s="6" t="n">
        <v>0.00126124406739923</v>
      </c>
      <c r="E1164" s="6" t="n">
        <v>0.000879154388231085</v>
      </c>
      <c r="F1164" s="7" t="n">
        <v>0.151398136745262</v>
      </c>
    </row>
    <row r="1165" customFormat="false" ht="15" hidden="false" customHeight="true" outlineLevel="0" collapsed="false">
      <c r="A1165" s="5" t="s">
        <v>88</v>
      </c>
      <c r="B1165" s="5" t="s">
        <v>79</v>
      </c>
      <c r="C1165" s="5" t="s">
        <v>745</v>
      </c>
      <c r="D1165" s="6" t="n">
        <v>0.00130092902868905</v>
      </c>
      <c r="E1165" s="6" t="n">
        <v>0.000879491413834103</v>
      </c>
      <c r="F1165" s="7" t="n">
        <v>0.139091326522961</v>
      </c>
    </row>
    <row r="1166" customFormat="false" ht="15" hidden="false" customHeight="true" outlineLevel="0" collapsed="false">
      <c r="A1166" s="5" t="s">
        <v>88</v>
      </c>
      <c r="B1166" s="5" t="s">
        <v>79</v>
      </c>
      <c r="C1166" s="5" t="s">
        <v>746</v>
      </c>
      <c r="D1166" s="6" t="n">
        <v>0.00137945475773205</v>
      </c>
      <c r="E1166" s="6" t="n">
        <v>0.000882508286214558</v>
      </c>
      <c r="F1166" s="7" t="n">
        <v>0.118027461952093</v>
      </c>
    </row>
    <row r="1167" customFormat="false" ht="15" hidden="false" customHeight="true" outlineLevel="0" collapsed="false">
      <c r="A1167" s="5" t="s">
        <v>88</v>
      </c>
      <c r="B1167" s="5" t="s">
        <v>79</v>
      </c>
      <c r="C1167" s="5" t="s">
        <v>747</v>
      </c>
      <c r="D1167" s="6" t="n">
        <v>0.00126045839794704</v>
      </c>
      <c r="E1167" s="6" t="n">
        <v>0.000878785366518806</v>
      </c>
      <c r="F1167" s="7" t="n">
        <v>0.151481299443422</v>
      </c>
    </row>
    <row r="1168" customFormat="false" ht="15" hidden="false" customHeight="true" outlineLevel="0" collapsed="false">
      <c r="A1168" s="5" t="s">
        <v>88</v>
      </c>
      <c r="B1168" s="5" t="s">
        <v>79</v>
      </c>
      <c r="C1168" s="5" t="s">
        <v>748</v>
      </c>
      <c r="D1168" s="6" t="n">
        <v>0.00124497050830359</v>
      </c>
      <c r="E1168" s="6" t="n">
        <v>0.000877532160341869</v>
      </c>
      <c r="F1168" s="7" t="n">
        <v>0.155981301530194</v>
      </c>
    </row>
    <row r="1169" customFormat="false" ht="15" hidden="false" customHeight="true" outlineLevel="0" collapsed="false">
      <c r="A1169" s="5" t="s">
        <v>88</v>
      </c>
      <c r="B1169" s="5" t="s">
        <v>79</v>
      </c>
      <c r="C1169" s="5" t="s">
        <v>749</v>
      </c>
      <c r="D1169" s="6" t="n">
        <v>0.00125718059778787</v>
      </c>
      <c r="E1169" s="6" t="n">
        <v>0.00087928009583842</v>
      </c>
      <c r="F1169" s="7" t="n">
        <v>0.152779027433638</v>
      </c>
    </row>
    <row r="1170" customFormat="false" ht="15" hidden="false" customHeight="true" outlineLevel="0" collapsed="false">
      <c r="A1170" s="5" t="s">
        <v>88</v>
      </c>
      <c r="B1170" s="5" t="s">
        <v>79</v>
      </c>
      <c r="C1170" s="5" t="s">
        <v>750</v>
      </c>
      <c r="D1170" s="6" t="n">
        <v>0.00130127076974006</v>
      </c>
      <c r="E1170" s="6" t="n">
        <v>0.000879895536364806</v>
      </c>
      <c r="F1170" s="7" t="n">
        <v>0.139169090624862</v>
      </c>
    </row>
    <row r="1171" customFormat="false" ht="15" hidden="false" customHeight="true" outlineLevel="0" collapsed="false">
      <c r="A1171" s="5" t="s">
        <v>88</v>
      </c>
      <c r="B1171" s="5" t="s">
        <v>79</v>
      </c>
      <c r="C1171" s="5" t="s">
        <v>751</v>
      </c>
      <c r="D1171" s="6" t="n">
        <v>0.00127688042655097</v>
      </c>
      <c r="E1171" s="6" t="n">
        <v>0.000879947525733647</v>
      </c>
      <c r="F1171" s="7" t="n">
        <v>0.14675563241689</v>
      </c>
    </row>
    <row r="1172" customFormat="false" ht="15" hidden="false" customHeight="true" outlineLevel="0" collapsed="false">
      <c r="A1172" s="5" t="s">
        <v>88</v>
      </c>
      <c r="B1172" s="5" t="s">
        <v>79</v>
      </c>
      <c r="C1172" s="5" t="s">
        <v>752</v>
      </c>
      <c r="D1172" s="6" t="n">
        <v>0.00125468877483544</v>
      </c>
      <c r="E1172" s="6" t="n">
        <v>0.000878189590430806</v>
      </c>
      <c r="F1172" s="7" t="n">
        <v>0.153084156294291</v>
      </c>
    </row>
    <row r="1173" customFormat="false" ht="15" hidden="false" customHeight="true" outlineLevel="0" collapsed="false">
      <c r="A1173" s="5" t="s">
        <v>88</v>
      </c>
      <c r="B1173" s="5" t="s">
        <v>79</v>
      </c>
      <c r="C1173" s="5" t="s">
        <v>753</v>
      </c>
      <c r="D1173" s="6" t="n">
        <v>0.00129896335470565</v>
      </c>
      <c r="E1173" s="6" t="n">
        <v>0.00088015539928438</v>
      </c>
      <c r="F1173" s="7" t="n">
        <v>0.139988433081722</v>
      </c>
    </row>
    <row r="1174" customFormat="false" ht="15" hidden="false" customHeight="true" outlineLevel="0" collapsed="false">
      <c r="A1174" s="5" t="s">
        <v>88</v>
      </c>
      <c r="B1174" s="5" t="s">
        <v>79</v>
      </c>
      <c r="C1174" s="5" t="s">
        <v>754</v>
      </c>
      <c r="D1174" s="6" t="n">
        <v>0.00128462729715434</v>
      </c>
      <c r="E1174" s="6" t="n">
        <v>0.000879855533842369</v>
      </c>
      <c r="F1174" s="7" t="n">
        <v>0.14427813655466</v>
      </c>
    </row>
    <row r="1175" customFormat="false" ht="15" hidden="false" customHeight="true" outlineLevel="0" collapsed="false">
      <c r="A1175" s="5" t="s">
        <v>88</v>
      </c>
      <c r="B1175" s="5" t="s">
        <v>79</v>
      </c>
      <c r="C1175" s="5" t="s">
        <v>755</v>
      </c>
      <c r="D1175" s="6" t="n">
        <v>0.00128026216231754</v>
      </c>
      <c r="E1175" s="6" t="n">
        <v>0.000879899801119822</v>
      </c>
      <c r="F1175" s="7" t="n">
        <v>0.145666759671856</v>
      </c>
    </row>
    <row r="1176" customFormat="false" ht="15" hidden="false" customHeight="true" outlineLevel="0" collapsed="false">
      <c r="A1176" s="5" t="s">
        <v>88</v>
      </c>
      <c r="B1176" s="5" t="s">
        <v>79</v>
      </c>
      <c r="C1176" s="5" t="s">
        <v>756</v>
      </c>
      <c r="D1176" s="6" t="n">
        <v>0.00123822820039126</v>
      </c>
      <c r="E1176" s="6" t="n">
        <v>0.000879474322475567</v>
      </c>
      <c r="F1176" s="7" t="n">
        <v>0.159155193756858</v>
      </c>
    </row>
    <row r="1177" customFormat="false" ht="15" hidden="false" customHeight="true" outlineLevel="0" collapsed="false">
      <c r="A1177" s="5" t="s">
        <v>88</v>
      </c>
      <c r="B1177" s="5" t="s">
        <v>79</v>
      </c>
      <c r="C1177" s="5" t="s">
        <v>757</v>
      </c>
      <c r="D1177" s="6" t="n">
        <v>0.00126353407745336</v>
      </c>
      <c r="E1177" s="6" t="n">
        <v>0.000880188610161877</v>
      </c>
      <c r="F1177" s="7" t="n">
        <v>0.1511371216052</v>
      </c>
    </row>
    <row r="1178" customFormat="false" ht="15" hidden="false" customHeight="true" outlineLevel="0" collapsed="false">
      <c r="A1178" s="5" t="s">
        <v>88</v>
      </c>
      <c r="B1178" s="5" t="s">
        <v>79</v>
      </c>
      <c r="C1178" s="5" t="s">
        <v>758</v>
      </c>
      <c r="D1178" s="6" t="n">
        <v>0.00132700178308612</v>
      </c>
      <c r="E1178" s="6" t="n">
        <v>0.000878255847795167</v>
      </c>
      <c r="F1178" s="7" t="n">
        <v>0.130800868399098</v>
      </c>
    </row>
    <row r="1179" customFormat="false" ht="15" hidden="false" customHeight="true" outlineLevel="0" collapsed="false">
      <c r="A1179" s="5" t="s">
        <v>88</v>
      </c>
      <c r="B1179" s="5" t="s">
        <v>79</v>
      </c>
      <c r="C1179" s="5" t="s">
        <v>792</v>
      </c>
      <c r="D1179" s="6" t="n">
        <v>0.0013049185712152</v>
      </c>
      <c r="E1179" s="6" t="n">
        <v>0.000879438974956481</v>
      </c>
      <c r="F1179" s="7" t="n">
        <v>0.137859868785443</v>
      </c>
    </row>
    <row r="1180" customFormat="false" ht="15" hidden="false" customHeight="true" outlineLevel="0" collapsed="false">
      <c r="A1180" s="5" t="s">
        <v>88</v>
      </c>
      <c r="B1180" s="5" t="s">
        <v>79</v>
      </c>
      <c r="C1180" s="5" t="s">
        <v>759</v>
      </c>
      <c r="D1180" s="6" t="n">
        <v>0.00129149772222037</v>
      </c>
      <c r="E1180" s="6" t="n">
        <v>0.00087968670792506</v>
      </c>
      <c r="F1180" s="7" t="n">
        <v>0.142067902693226</v>
      </c>
    </row>
    <row r="1181" customFormat="false" ht="15" hidden="false" customHeight="true" outlineLevel="0" collapsed="false">
      <c r="A1181" s="5" t="s">
        <v>88</v>
      </c>
      <c r="B1181" s="5" t="s">
        <v>79</v>
      </c>
      <c r="C1181" s="5" t="s">
        <v>760</v>
      </c>
      <c r="D1181" s="6" t="n">
        <v>0.00121513714728</v>
      </c>
      <c r="E1181" s="6" t="n">
        <v>0.000881031196282447</v>
      </c>
      <c r="F1181" s="7" t="n">
        <v>0.167826478369568</v>
      </c>
    </row>
    <row r="1182" customFormat="false" ht="15" hidden="false" customHeight="true" outlineLevel="0" collapsed="false">
      <c r="A1182" s="5" t="s">
        <v>88</v>
      </c>
      <c r="B1182" s="5" t="s">
        <v>79</v>
      </c>
      <c r="C1182" s="5" t="s">
        <v>761</v>
      </c>
      <c r="D1182" s="6" t="n">
        <v>0.00131438493712679</v>
      </c>
      <c r="E1182" s="6" t="n">
        <v>0.000879133016607702</v>
      </c>
      <c r="F1182" s="7" t="n">
        <v>0.134890374957785</v>
      </c>
    </row>
    <row r="1183" customFormat="false" ht="15" hidden="false" customHeight="true" outlineLevel="0" collapsed="false">
      <c r="A1183" s="5" t="s">
        <v>88</v>
      </c>
      <c r="B1183" s="5" t="s">
        <v>79</v>
      </c>
      <c r="C1183" s="5" t="s">
        <v>762</v>
      </c>
      <c r="D1183" s="6" t="n">
        <v>0.00136875746732176</v>
      </c>
      <c r="E1183" s="6" t="n">
        <v>0.000879116499892595</v>
      </c>
      <c r="F1183" s="7" t="n">
        <v>0.119477756654716</v>
      </c>
    </row>
    <row r="1184" customFormat="false" ht="15" hidden="false" customHeight="true" outlineLevel="0" collapsed="false">
      <c r="A1184" s="5" t="s">
        <v>88</v>
      </c>
      <c r="B1184" s="5" t="s">
        <v>79</v>
      </c>
      <c r="C1184" s="5" t="s">
        <v>763</v>
      </c>
      <c r="D1184" s="6" t="n">
        <v>0.00131005647450533</v>
      </c>
      <c r="E1184" s="6" t="n">
        <v>0.000879658682685752</v>
      </c>
      <c r="F1184" s="7" t="n">
        <v>0.136414133334085</v>
      </c>
    </row>
    <row r="1185" customFormat="false" ht="15" hidden="false" customHeight="true" outlineLevel="0" collapsed="false">
      <c r="A1185" s="5" t="s">
        <v>88</v>
      </c>
      <c r="B1185" s="5" t="s">
        <v>79</v>
      </c>
      <c r="C1185" s="5" t="s">
        <v>764</v>
      </c>
      <c r="D1185" s="6" t="n">
        <v>0.0012888006169853</v>
      </c>
      <c r="E1185" s="6" t="n">
        <v>0.000880396591446046</v>
      </c>
      <c r="F1185" s="7" t="n">
        <v>0.143224983659871</v>
      </c>
    </row>
    <row r="1186" customFormat="false" ht="15" hidden="false" customHeight="true" outlineLevel="0" collapsed="false">
      <c r="A1186" s="5" t="s">
        <v>88</v>
      </c>
      <c r="B1186" s="5" t="s">
        <v>79</v>
      </c>
      <c r="C1186" s="5" t="s">
        <v>765</v>
      </c>
      <c r="D1186" s="6" t="n">
        <v>0.00130612665474716</v>
      </c>
      <c r="E1186" s="6" t="n">
        <v>0.000879346472926431</v>
      </c>
      <c r="F1186" s="7" t="n">
        <v>0.137454333542808</v>
      </c>
    </row>
    <row r="1187" customFormat="false" ht="15" hidden="false" customHeight="true" outlineLevel="0" collapsed="false">
      <c r="A1187" s="5" t="s">
        <v>88</v>
      </c>
      <c r="B1187" s="5" t="s">
        <v>79</v>
      </c>
      <c r="C1187" s="5" t="s">
        <v>306</v>
      </c>
      <c r="D1187" s="6" t="n">
        <v>0.00128819604522055</v>
      </c>
      <c r="E1187" s="6" t="n">
        <v>0.000878439083753758</v>
      </c>
      <c r="F1187" s="7" t="n">
        <v>0.142522928197655</v>
      </c>
    </row>
    <row r="1188" customFormat="false" ht="15" hidden="false" customHeight="true" outlineLevel="0" collapsed="false">
      <c r="A1188" s="5" t="s">
        <v>74</v>
      </c>
      <c r="B1188" s="5" t="s">
        <v>83</v>
      </c>
      <c r="C1188" s="5" t="s">
        <v>205</v>
      </c>
      <c r="D1188" s="6" t="n">
        <v>0.0840554823381283</v>
      </c>
      <c r="E1188" s="6" t="n">
        <v>0.0231213796754485</v>
      </c>
      <c r="F1188" s="7" t="n">
        <v>0.000277548774695281</v>
      </c>
    </row>
    <row r="1189" customFormat="false" ht="15" hidden="false" customHeight="true" outlineLevel="0" collapsed="false">
      <c r="A1189" s="5" t="s">
        <v>74</v>
      </c>
      <c r="B1189" s="5" t="s">
        <v>83</v>
      </c>
      <c r="C1189" s="5" t="s">
        <v>169</v>
      </c>
      <c r="D1189" s="6" t="n">
        <v>0.0866236421755115</v>
      </c>
      <c r="E1189" s="6" t="n">
        <v>0.023295266331897</v>
      </c>
      <c r="F1189" s="7" t="n">
        <v>0.000200402675755399</v>
      </c>
    </row>
    <row r="1190" customFormat="false" ht="15" hidden="false" customHeight="true" outlineLevel="0" collapsed="false">
      <c r="A1190" s="5" t="s">
        <v>74</v>
      </c>
      <c r="B1190" s="5" t="s">
        <v>83</v>
      </c>
      <c r="C1190" s="5" t="s">
        <v>206</v>
      </c>
      <c r="D1190" s="6" t="n">
        <v>0.0843045866860685</v>
      </c>
      <c r="E1190" s="6" t="n">
        <v>0.0231623885696141</v>
      </c>
      <c r="F1190" s="7" t="n">
        <v>0.000272935681878844</v>
      </c>
    </row>
    <row r="1191" customFormat="false" ht="15" hidden="false" customHeight="true" outlineLevel="0" collapsed="false">
      <c r="A1191" s="5" t="s">
        <v>74</v>
      </c>
      <c r="B1191" s="5" t="s">
        <v>83</v>
      </c>
      <c r="C1191" s="5" t="s">
        <v>207</v>
      </c>
      <c r="D1191" s="6" t="n">
        <v>0.0865778483085154</v>
      </c>
      <c r="E1191" s="6" t="n">
        <v>0.023280238252311</v>
      </c>
      <c r="F1191" s="7" t="n">
        <v>0.000200059233057976</v>
      </c>
    </row>
    <row r="1192" customFormat="false" ht="15" hidden="false" customHeight="true" outlineLevel="0" collapsed="false">
      <c r="A1192" s="5" t="s">
        <v>74</v>
      </c>
      <c r="B1192" s="5" t="s">
        <v>83</v>
      </c>
      <c r="C1192" s="5" t="s">
        <v>208</v>
      </c>
      <c r="D1192" s="6" t="n">
        <v>0.0874179411764235</v>
      </c>
      <c r="E1192" s="6" t="n">
        <v>0.0232085822302013</v>
      </c>
      <c r="F1192" s="7" t="n">
        <v>0.000165471677220836</v>
      </c>
    </row>
    <row r="1193" customFormat="false" ht="15" hidden="false" customHeight="true" outlineLevel="0" collapsed="false">
      <c r="A1193" s="5" t="s">
        <v>74</v>
      </c>
      <c r="B1193" s="5" t="s">
        <v>83</v>
      </c>
      <c r="C1193" s="5" t="s">
        <v>209</v>
      </c>
      <c r="D1193" s="6" t="n">
        <v>0.0858705390911988</v>
      </c>
      <c r="E1193" s="6" t="n">
        <v>0.0233295444948398</v>
      </c>
      <c r="F1193" s="7" t="n">
        <v>0.000232536487303708</v>
      </c>
    </row>
    <row r="1194" customFormat="false" ht="15" hidden="false" customHeight="true" outlineLevel="0" collapsed="false">
      <c r="A1194" s="5" t="s">
        <v>74</v>
      </c>
      <c r="B1194" s="5" t="s">
        <v>83</v>
      </c>
      <c r="C1194" s="5" t="s">
        <v>210</v>
      </c>
      <c r="D1194" s="6" t="n">
        <v>0.0857827422707671</v>
      </c>
      <c r="E1194" s="6" t="n">
        <v>0.0233154851451935</v>
      </c>
      <c r="F1194" s="7" t="n">
        <v>0.000233950631408007</v>
      </c>
    </row>
    <row r="1195" customFormat="false" ht="15" hidden="false" customHeight="true" outlineLevel="0" collapsed="false">
      <c r="A1195" s="5" t="s">
        <v>74</v>
      </c>
      <c r="B1195" s="5" t="s">
        <v>83</v>
      </c>
      <c r="C1195" s="5" t="s">
        <v>173</v>
      </c>
      <c r="D1195" s="6" t="n">
        <v>0.0794351516877043</v>
      </c>
      <c r="E1195" s="6" t="n">
        <v>0.0225825933434787</v>
      </c>
      <c r="F1195" s="7" t="n">
        <v>0.000435568420963678</v>
      </c>
    </row>
    <row r="1196" customFormat="false" ht="15" hidden="false" customHeight="true" outlineLevel="0" collapsed="false">
      <c r="A1196" s="5" t="s">
        <v>74</v>
      </c>
      <c r="B1196" s="5" t="s">
        <v>83</v>
      </c>
      <c r="C1196" s="5" t="s">
        <v>211</v>
      </c>
      <c r="D1196" s="6" t="n">
        <v>0.0858005979585127</v>
      </c>
      <c r="E1196" s="6" t="n">
        <v>0.0233156934703772</v>
      </c>
      <c r="F1196" s="7" t="n">
        <v>0.000233279227434533</v>
      </c>
    </row>
    <row r="1197" customFormat="false" ht="15" hidden="false" customHeight="true" outlineLevel="0" collapsed="false">
      <c r="A1197" s="5" t="s">
        <v>74</v>
      </c>
      <c r="B1197" s="5" t="s">
        <v>83</v>
      </c>
      <c r="C1197" s="5" t="s">
        <v>198</v>
      </c>
      <c r="D1197" s="6" t="n">
        <v>0.085959470828859</v>
      </c>
      <c r="E1197" s="6" t="n">
        <v>0.0235995777517852</v>
      </c>
      <c r="F1197" s="7" t="n">
        <v>0.000270091517047097</v>
      </c>
    </row>
    <row r="1198" customFormat="false" ht="15" hidden="false" customHeight="true" outlineLevel="0" collapsed="false">
      <c r="A1198" s="5" t="s">
        <v>74</v>
      </c>
      <c r="B1198" s="5" t="s">
        <v>83</v>
      </c>
      <c r="C1198" s="5" t="s">
        <v>766</v>
      </c>
      <c r="D1198" s="6" t="n">
        <v>0.088738979390925</v>
      </c>
      <c r="E1198" s="6" t="n">
        <v>0.0233744178062396</v>
      </c>
      <c r="F1198" s="7" t="n">
        <v>0.000146803944149561</v>
      </c>
    </row>
    <row r="1199" customFormat="false" ht="15" hidden="false" customHeight="true" outlineLevel="0" collapsed="false">
      <c r="A1199" s="5" t="s">
        <v>74</v>
      </c>
      <c r="B1199" s="5" t="s">
        <v>83</v>
      </c>
      <c r="C1199" s="5" t="s">
        <v>212</v>
      </c>
      <c r="D1199" s="6" t="n">
        <v>0.0875785338594377</v>
      </c>
      <c r="E1199" s="6" t="n">
        <v>0.0232726379389605</v>
      </c>
      <c r="F1199" s="7" t="n">
        <v>0.000167783424415294</v>
      </c>
    </row>
    <row r="1200" customFormat="false" ht="15" hidden="false" customHeight="true" outlineLevel="0" collapsed="false">
      <c r="A1200" s="5" t="s">
        <v>74</v>
      </c>
      <c r="B1200" s="5" t="s">
        <v>83</v>
      </c>
      <c r="C1200" s="5" t="s">
        <v>213</v>
      </c>
      <c r="D1200" s="6" t="n">
        <v>0.0861766668825218</v>
      </c>
      <c r="E1200" s="6" t="n">
        <v>0.0233531561119896</v>
      </c>
      <c r="F1200" s="7" t="n">
        <v>0.000224121184055914</v>
      </c>
    </row>
    <row r="1201" customFormat="false" ht="15" hidden="false" customHeight="true" outlineLevel="0" collapsed="false">
      <c r="A1201" s="5" t="s">
        <v>74</v>
      </c>
      <c r="B1201" s="5" t="s">
        <v>83</v>
      </c>
      <c r="C1201" s="5" t="s">
        <v>214</v>
      </c>
      <c r="D1201" s="6" t="n">
        <v>0.0862333833653158</v>
      </c>
      <c r="E1201" s="6" t="n">
        <v>0.0233055565432454</v>
      </c>
      <c r="F1201" s="7" t="n">
        <v>0.000215496540723272</v>
      </c>
    </row>
    <row r="1202" customFormat="false" ht="15" hidden="false" customHeight="true" outlineLevel="0" collapsed="false">
      <c r="A1202" s="5" t="s">
        <v>74</v>
      </c>
      <c r="B1202" s="5" t="s">
        <v>83</v>
      </c>
      <c r="C1202" s="5" t="s">
        <v>215</v>
      </c>
      <c r="D1202" s="6" t="n">
        <v>0.0879893358583851</v>
      </c>
      <c r="E1202" s="6" t="n">
        <v>0.023058760092567</v>
      </c>
      <c r="F1202" s="7" t="n">
        <v>0.00013570143831443</v>
      </c>
    </row>
    <row r="1203" customFormat="false" ht="15" hidden="false" customHeight="true" outlineLevel="0" collapsed="false">
      <c r="A1203" s="5" t="s">
        <v>74</v>
      </c>
      <c r="B1203" s="5" t="s">
        <v>83</v>
      </c>
      <c r="C1203" s="5" t="s">
        <v>216</v>
      </c>
      <c r="D1203" s="6" t="n">
        <v>0.0830613396355215</v>
      </c>
      <c r="E1203" s="6" t="n">
        <v>0.0234395800183369</v>
      </c>
      <c r="F1203" s="7" t="n">
        <v>0.00039464970198353</v>
      </c>
    </row>
    <row r="1204" customFormat="false" ht="15" hidden="false" customHeight="true" outlineLevel="0" collapsed="false">
      <c r="A1204" s="5" t="s">
        <v>74</v>
      </c>
      <c r="B1204" s="5" t="s">
        <v>83</v>
      </c>
      <c r="C1204" s="5" t="s">
        <v>217</v>
      </c>
      <c r="D1204" s="6" t="n">
        <v>0.0834268232389654</v>
      </c>
      <c r="E1204" s="6" t="n">
        <v>0.023268006653211</v>
      </c>
      <c r="F1204" s="7" t="n">
        <v>0.000336467059889719</v>
      </c>
    </row>
    <row r="1205" customFormat="false" ht="15" hidden="false" customHeight="true" outlineLevel="0" collapsed="false">
      <c r="A1205" s="5" t="s">
        <v>74</v>
      </c>
      <c r="B1205" s="5" t="s">
        <v>83</v>
      </c>
      <c r="C1205" s="5" t="s">
        <v>218</v>
      </c>
      <c r="D1205" s="6" t="n">
        <v>0.0877663505976588</v>
      </c>
      <c r="E1205" s="6" t="n">
        <v>0.0231457006061292</v>
      </c>
      <c r="F1205" s="7" t="n">
        <v>0.000149494732731269</v>
      </c>
    </row>
    <row r="1206" customFormat="false" ht="15" hidden="false" customHeight="true" outlineLevel="0" collapsed="false">
      <c r="A1206" s="5" t="s">
        <v>74</v>
      </c>
      <c r="B1206" s="5" t="s">
        <v>83</v>
      </c>
      <c r="C1206" s="5" t="s">
        <v>219</v>
      </c>
      <c r="D1206" s="6" t="n">
        <v>0.0871452756774883</v>
      </c>
      <c r="E1206" s="6" t="n">
        <v>0.0233798142238805</v>
      </c>
      <c r="F1206" s="7" t="n">
        <v>0.000193486416927534</v>
      </c>
    </row>
    <row r="1207" customFormat="false" ht="15" hidden="false" customHeight="true" outlineLevel="0" collapsed="false">
      <c r="A1207" s="5" t="s">
        <v>74</v>
      </c>
      <c r="B1207" s="5" t="s">
        <v>83</v>
      </c>
      <c r="C1207" s="5" t="s">
        <v>220</v>
      </c>
      <c r="D1207" s="6" t="n">
        <v>0.0850822581365048</v>
      </c>
      <c r="E1207" s="6" t="n">
        <v>0.023292622260898</v>
      </c>
      <c r="F1207" s="7" t="n">
        <v>0.000259441063112075</v>
      </c>
    </row>
    <row r="1208" customFormat="false" ht="15" hidden="false" customHeight="true" outlineLevel="0" collapsed="false">
      <c r="A1208" s="5" t="s">
        <v>74</v>
      </c>
      <c r="B1208" s="5" t="s">
        <v>83</v>
      </c>
      <c r="C1208" s="5" t="s">
        <v>221</v>
      </c>
      <c r="D1208" s="6" t="n">
        <v>0.0865848251012046</v>
      </c>
      <c r="E1208" s="6" t="n">
        <v>0.023291154014203</v>
      </c>
      <c r="F1208" s="7" t="n">
        <v>0.000201205352377536</v>
      </c>
    </row>
    <row r="1209" customFormat="false" ht="15" hidden="false" customHeight="true" outlineLevel="0" collapsed="false">
      <c r="A1209" s="5" t="s">
        <v>74</v>
      </c>
      <c r="B1209" s="5" t="s">
        <v>83</v>
      </c>
      <c r="C1209" s="5" t="s">
        <v>222</v>
      </c>
      <c r="D1209" s="6" t="n">
        <v>0.0875233067045886</v>
      </c>
      <c r="E1209" s="6" t="n">
        <v>0.023171884933319</v>
      </c>
      <c r="F1209" s="7" t="n">
        <v>0.000158643600056486</v>
      </c>
    </row>
    <row r="1210" customFormat="false" ht="15" hidden="false" customHeight="true" outlineLevel="0" collapsed="false">
      <c r="A1210" s="5" t="s">
        <v>74</v>
      </c>
      <c r="B1210" s="5" t="s">
        <v>83</v>
      </c>
      <c r="C1210" s="5" t="s">
        <v>223</v>
      </c>
      <c r="D1210" s="6" t="n">
        <v>0.0842353480578523</v>
      </c>
      <c r="E1210" s="6" t="n">
        <v>0.0232256256067057</v>
      </c>
      <c r="F1210" s="7" t="n">
        <v>0.000286924338953644</v>
      </c>
    </row>
    <row r="1211" customFormat="false" ht="15" hidden="false" customHeight="true" outlineLevel="0" collapsed="false">
      <c r="A1211" s="5" t="s">
        <v>74</v>
      </c>
      <c r="B1211" s="5" t="s">
        <v>83</v>
      </c>
      <c r="C1211" s="5" t="s">
        <v>224</v>
      </c>
      <c r="D1211" s="6" t="n">
        <v>0.086603734246581</v>
      </c>
      <c r="E1211" s="6" t="n">
        <v>0.0233092110910099</v>
      </c>
      <c r="F1211" s="7" t="n">
        <v>0.00020285869307561</v>
      </c>
    </row>
    <row r="1212" customFormat="false" ht="15" hidden="false" customHeight="true" outlineLevel="0" collapsed="false">
      <c r="A1212" s="5" t="s">
        <v>74</v>
      </c>
      <c r="B1212" s="5" t="s">
        <v>83</v>
      </c>
      <c r="C1212" s="5" t="s">
        <v>225</v>
      </c>
      <c r="D1212" s="6" t="n">
        <v>0.0838033754334083</v>
      </c>
      <c r="E1212" s="6" t="n">
        <v>0.0232017243103119</v>
      </c>
      <c r="F1212" s="7" t="n">
        <v>0.000303907853238672</v>
      </c>
    </row>
    <row r="1213" customFormat="false" ht="15" hidden="false" customHeight="true" outlineLevel="0" collapsed="false">
      <c r="A1213" s="5" t="s">
        <v>74</v>
      </c>
      <c r="B1213" s="5" t="s">
        <v>83</v>
      </c>
      <c r="C1213" s="5" t="s">
        <v>226</v>
      </c>
      <c r="D1213" s="6" t="n">
        <v>0.0823664854880183</v>
      </c>
      <c r="E1213" s="6" t="n">
        <v>0.0228962736139071</v>
      </c>
      <c r="F1213" s="7" t="n">
        <v>0.000321444716194382</v>
      </c>
    </row>
    <row r="1214" customFormat="false" ht="15" hidden="false" customHeight="true" outlineLevel="0" collapsed="false">
      <c r="A1214" s="5" t="s">
        <v>74</v>
      </c>
      <c r="B1214" s="5" t="s">
        <v>83</v>
      </c>
      <c r="C1214" s="5" t="s">
        <v>227</v>
      </c>
      <c r="D1214" s="6" t="n">
        <v>0.0849680015364416</v>
      </c>
      <c r="E1214" s="6" t="n">
        <v>0.0232926667739773</v>
      </c>
      <c r="F1214" s="7" t="n">
        <v>0.000264450698713978</v>
      </c>
    </row>
    <row r="1215" customFormat="false" ht="15" hidden="false" customHeight="true" outlineLevel="0" collapsed="false">
      <c r="A1215" s="5" t="s">
        <v>74</v>
      </c>
      <c r="B1215" s="5" t="s">
        <v>83</v>
      </c>
      <c r="C1215" s="5" t="s">
        <v>228</v>
      </c>
      <c r="D1215" s="6" t="n">
        <v>0.0874184988215827</v>
      </c>
      <c r="E1215" s="6" t="n">
        <v>0.0232549858990657</v>
      </c>
      <c r="F1215" s="7" t="n">
        <v>0.000170505708822386</v>
      </c>
    </row>
    <row r="1216" customFormat="false" ht="15" hidden="false" customHeight="true" outlineLevel="0" collapsed="false">
      <c r="A1216" s="5" t="s">
        <v>74</v>
      </c>
      <c r="B1216" s="5" t="s">
        <v>83</v>
      </c>
      <c r="C1216" s="5" t="s">
        <v>177</v>
      </c>
      <c r="D1216" s="6" t="n">
        <v>0.0821670120628839</v>
      </c>
      <c r="E1216" s="6" t="n">
        <v>0.0227739069438152</v>
      </c>
      <c r="F1216" s="7" t="n">
        <v>0.000308631455532553</v>
      </c>
    </row>
    <row r="1217" customFormat="false" ht="15" hidden="false" customHeight="true" outlineLevel="0" collapsed="false">
      <c r="A1217" s="5" t="s">
        <v>74</v>
      </c>
      <c r="B1217" s="5" t="s">
        <v>83</v>
      </c>
      <c r="C1217" s="5" t="s">
        <v>229</v>
      </c>
      <c r="D1217" s="6" t="n">
        <v>0.0881068752238127</v>
      </c>
      <c r="E1217" s="6" t="n">
        <v>0.0232972439699446</v>
      </c>
      <c r="F1217" s="7" t="n">
        <v>0.000155661973403866</v>
      </c>
    </row>
    <row r="1218" customFormat="false" ht="15" hidden="false" customHeight="true" outlineLevel="0" collapsed="false">
      <c r="A1218" s="5" t="s">
        <v>74</v>
      </c>
      <c r="B1218" s="5" t="s">
        <v>83</v>
      </c>
      <c r="C1218" s="5" t="s">
        <v>230</v>
      </c>
      <c r="D1218" s="6" t="n">
        <v>0.082117399721136</v>
      </c>
      <c r="E1218" s="6" t="n">
        <v>0.0231935793968329</v>
      </c>
      <c r="F1218" s="7" t="n">
        <v>0.000399334930808539</v>
      </c>
    </row>
    <row r="1219" customFormat="false" ht="15" hidden="false" customHeight="true" outlineLevel="0" collapsed="false">
      <c r="A1219" s="5" t="s">
        <v>74</v>
      </c>
      <c r="B1219" s="5" t="s">
        <v>83</v>
      </c>
      <c r="C1219" s="5" t="s">
        <v>231</v>
      </c>
      <c r="D1219" s="6" t="n">
        <v>0.0864797515145923</v>
      </c>
      <c r="E1219" s="6" t="n">
        <v>0.0233963152361666</v>
      </c>
      <c r="F1219" s="7" t="n">
        <v>0.00021876623375472</v>
      </c>
    </row>
    <row r="1220" customFormat="false" ht="15" hidden="false" customHeight="true" outlineLevel="0" collapsed="false">
      <c r="A1220" s="5" t="s">
        <v>74</v>
      </c>
      <c r="B1220" s="5" t="s">
        <v>83</v>
      </c>
      <c r="C1220" s="5" t="s">
        <v>199</v>
      </c>
      <c r="D1220" s="6" t="n">
        <v>0.0805423625369529</v>
      </c>
      <c r="E1220" s="6" t="n">
        <v>0.0231768891434901</v>
      </c>
      <c r="F1220" s="7" t="n">
        <v>0.000510633782699814</v>
      </c>
    </row>
    <row r="1221" customFormat="false" ht="15" hidden="false" customHeight="true" outlineLevel="0" collapsed="false">
      <c r="A1221" s="5" t="s">
        <v>74</v>
      </c>
      <c r="B1221" s="5" t="s">
        <v>83</v>
      </c>
      <c r="C1221" s="5" t="s">
        <v>767</v>
      </c>
      <c r="D1221" s="6" t="n">
        <v>0.0841090639984756</v>
      </c>
      <c r="E1221" s="6" t="n">
        <v>0.0231765300136494</v>
      </c>
      <c r="F1221" s="7" t="n">
        <v>0.000284452940732477</v>
      </c>
    </row>
    <row r="1222" customFormat="false" ht="15" hidden="false" customHeight="true" outlineLevel="0" collapsed="false">
      <c r="A1222" s="5" t="s">
        <v>74</v>
      </c>
      <c r="B1222" s="5" t="s">
        <v>83</v>
      </c>
      <c r="C1222" s="5" t="s">
        <v>232</v>
      </c>
      <c r="D1222" s="6" t="n">
        <v>0.087161796728411</v>
      </c>
      <c r="E1222" s="6" t="n">
        <v>0.023233095456963</v>
      </c>
      <c r="F1222" s="7" t="n">
        <v>0.000175694080799244</v>
      </c>
    </row>
    <row r="1223" customFormat="false" ht="15" hidden="false" customHeight="true" outlineLevel="0" collapsed="false">
      <c r="A1223" s="5" t="s">
        <v>74</v>
      </c>
      <c r="B1223" s="5" t="s">
        <v>83</v>
      </c>
      <c r="C1223" s="5" t="s">
        <v>233</v>
      </c>
      <c r="D1223" s="6" t="n">
        <v>0.0862238416144883</v>
      </c>
      <c r="E1223" s="6" t="n">
        <v>0.0233578811047926</v>
      </c>
      <c r="F1223" s="7" t="n">
        <v>0.000223002081423142</v>
      </c>
    </row>
    <row r="1224" customFormat="false" ht="15" hidden="false" customHeight="true" outlineLevel="0" collapsed="false">
      <c r="A1224" s="5" t="s">
        <v>74</v>
      </c>
      <c r="B1224" s="5" t="s">
        <v>83</v>
      </c>
      <c r="C1224" s="5" t="s">
        <v>234</v>
      </c>
      <c r="D1224" s="6" t="n">
        <v>0.0877878468318559</v>
      </c>
      <c r="E1224" s="6" t="n">
        <v>0.0232168749120957</v>
      </c>
      <c r="F1224" s="7" t="n">
        <v>0.000156068836741327</v>
      </c>
    </row>
    <row r="1225" customFormat="false" ht="15" hidden="false" customHeight="true" outlineLevel="0" collapsed="false">
      <c r="A1225" s="5" t="s">
        <v>74</v>
      </c>
      <c r="B1225" s="5" t="s">
        <v>83</v>
      </c>
      <c r="C1225" s="5" t="s">
        <v>235</v>
      </c>
      <c r="D1225" s="6" t="n">
        <v>0.0856211372660372</v>
      </c>
      <c r="E1225" s="6" t="n">
        <v>0.0233078839589581</v>
      </c>
      <c r="F1225" s="7" t="n">
        <v>0.000239265727238557</v>
      </c>
    </row>
    <row r="1226" customFormat="false" ht="15" hidden="false" customHeight="true" outlineLevel="0" collapsed="false">
      <c r="A1226" s="5" t="s">
        <v>74</v>
      </c>
      <c r="B1226" s="5" t="s">
        <v>83</v>
      </c>
      <c r="C1226" s="5" t="s">
        <v>237</v>
      </c>
      <c r="D1226" s="6" t="n">
        <v>0.0850297564200391</v>
      </c>
      <c r="E1226" s="6" t="n">
        <v>0.0232836416912856</v>
      </c>
      <c r="F1226" s="7" t="n">
        <v>0.000260297442133867</v>
      </c>
    </row>
    <row r="1227" customFormat="false" ht="15" hidden="false" customHeight="true" outlineLevel="0" collapsed="false">
      <c r="A1227" s="5" t="s">
        <v>74</v>
      </c>
      <c r="B1227" s="5" t="s">
        <v>83</v>
      </c>
      <c r="C1227" s="5" t="s">
        <v>238</v>
      </c>
      <c r="D1227" s="6" t="n">
        <v>0.082166598397946</v>
      </c>
      <c r="E1227" s="6" t="n">
        <v>0.0231353782936707</v>
      </c>
      <c r="F1227" s="7" t="n">
        <v>0.000382960061332944</v>
      </c>
    </row>
    <row r="1228" customFormat="false" ht="15" hidden="false" customHeight="true" outlineLevel="0" collapsed="false">
      <c r="A1228" s="5" t="s">
        <v>74</v>
      </c>
      <c r="B1228" s="5" t="s">
        <v>83</v>
      </c>
      <c r="C1228" s="5" t="s">
        <v>239</v>
      </c>
      <c r="D1228" s="6" t="n">
        <v>0.0828351893774927</v>
      </c>
      <c r="E1228" s="6" t="n">
        <v>0.0233912480250265</v>
      </c>
      <c r="F1228" s="7" t="n">
        <v>0.000398175893687992</v>
      </c>
    </row>
    <row r="1229" customFormat="false" ht="15" hidden="false" customHeight="true" outlineLevel="0" collapsed="false">
      <c r="A1229" s="5" t="s">
        <v>74</v>
      </c>
      <c r="B1229" s="5" t="s">
        <v>83</v>
      </c>
      <c r="C1229" s="5" t="s">
        <v>240</v>
      </c>
      <c r="D1229" s="6" t="n">
        <v>0.0856813615003266</v>
      </c>
      <c r="E1229" s="6" t="n">
        <v>0.0234578141638819</v>
      </c>
      <c r="F1229" s="7" t="n">
        <v>0.000259626494997337</v>
      </c>
    </row>
    <row r="1230" customFormat="false" ht="15" hidden="false" customHeight="true" outlineLevel="0" collapsed="false">
      <c r="A1230" s="5" t="s">
        <v>74</v>
      </c>
      <c r="B1230" s="5" t="s">
        <v>83</v>
      </c>
      <c r="C1230" s="5" t="s">
        <v>241</v>
      </c>
      <c r="D1230" s="6" t="n">
        <v>0.0859934781886133</v>
      </c>
      <c r="E1230" s="6" t="n">
        <v>0.0233145851841757</v>
      </c>
      <c r="F1230" s="7" t="n">
        <v>0.000225670123483026</v>
      </c>
    </row>
    <row r="1231" customFormat="false" ht="15" hidden="false" customHeight="true" outlineLevel="0" collapsed="false">
      <c r="A1231" s="5" t="s">
        <v>74</v>
      </c>
      <c r="B1231" s="5" t="s">
        <v>83</v>
      </c>
      <c r="C1231" s="5" t="s">
        <v>242</v>
      </c>
      <c r="D1231" s="6" t="n">
        <v>0.0833200248319565</v>
      </c>
      <c r="E1231" s="6" t="n">
        <v>0.0230539938006597</v>
      </c>
      <c r="F1231" s="7" t="n">
        <v>0.000301363172069427</v>
      </c>
    </row>
    <row r="1232" customFormat="false" ht="15" hidden="false" customHeight="true" outlineLevel="0" collapsed="false">
      <c r="A1232" s="5" t="s">
        <v>74</v>
      </c>
      <c r="B1232" s="5" t="s">
        <v>83</v>
      </c>
      <c r="C1232" s="5" t="s">
        <v>243</v>
      </c>
      <c r="D1232" s="6" t="n">
        <v>0.089548309692185</v>
      </c>
      <c r="E1232" s="6" t="n">
        <v>0.0228720439043685</v>
      </c>
      <c r="F1232" s="7" t="n">
        <v>9.03344813200377E-005</v>
      </c>
    </row>
    <row r="1233" customFormat="false" ht="15" hidden="false" customHeight="true" outlineLevel="0" collapsed="false">
      <c r="A1233" s="5" t="s">
        <v>74</v>
      </c>
      <c r="B1233" s="5" t="s">
        <v>83</v>
      </c>
      <c r="C1233" s="5" t="s">
        <v>244</v>
      </c>
      <c r="D1233" s="6" t="n">
        <v>0.0865981978817585</v>
      </c>
      <c r="E1233" s="6" t="n">
        <v>0.0232925103148082</v>
      </c>
      <c r="F1233" s="7" t="n">
        <v>0.000200920782857185</v>
      </c>
    </row>
    <row r="1234" customFormat="false" ht="15" hidden="false" customHeight="true" outlineLevel="0" collapsed="false">
      <c r="A1234" s="5" t="s">
        <v>74</v>
      </c>
      <c r="B1234" s="5" t="s">
        <v>83</v>
      </c>
      <c r="C1234" s="5" t="s">
        <v>245</v>
      </c>
      <c r="D1234" s="6" t="n">
        <v>0.0836775764001827</v>
      </c>
      <c r="E1234" s="6" t="n">
        <v>0.0231953966368254</v>
      </c>
      <c r="F1234" s="7" t="n">
        <v>0.0003091521388423</v>
      </c>
    </row>
    <row r="1235" customFormat="false" ht="15" hidden="false" customHeight="true" outlineLevel="0" collapsed="false">
      <c r="A1235" s="5" t="s">
        <v>74</v>
      </c>
      <c r="B1235" s="5" t="s">
        <v>83</v>
      </c>
      <c r="C1235" s="5" t="s">
        <v>246</v>
      </c>
      <c r="D1235" s="6" t="n">
        <v>0.086422621873658</v>
      </c>
      <c r="E1235" s="6" t="n">
        <v>0.0232937753317225</v>
      </c>
      <c r="F1235" s="7" t="n">
        <v>0.000207163835431603</v>
      </c>
    </row>
    <row r="1236" customFormat="false" ht="15" hidden="false" customHeight="true" outlineLevel="0" collapsed="false">
      <c r="A1236" s="5" t="s">
        <v>74</v>
      </c>
      <c r="B1236" s="5" t="s">
        <v>83</v>
      </c>
      <c r="C1236" s="5" t="s">
        <v>247</v>
      </c>
      <c r="D1236" s="6" t="n">
        <v>0.0873979879491279</v>
      </c>
      <c r="E1236" s="6" t="n">
        <v>0.0232824555694428</v>
      </c>
      <c r="F1236" s="7" t="n">
        <v>0.000174164708476588</v>
      </c>
    </row>
    <row r="1237" customFormat="false" ht="15" hidden="false" customHeight="true" outlineLevel="0" collapsed="false">
      <c r="A1237" s="5" t="s">
        <v>74</v>
      </c>
      <c r="B1237" s="5" t="s">
        <v>83</v>
      </c>
      <c r="C1237" s="5" t="s">
        <v>248</v>
      </c>
      <c r="D1237" s="6" t="n">
        <v>0.0849124275753019</v>
      </c>
      <c r="E1237" s="6" t="n">
        <v>0.023311047653224</v>
      </c>
      <c r="F1237" s="7" t="n">
        <v>0.00026991582899086</v>
      </c>
    </row>
    <row r="1238" customFormat="false" ht="15" hidden="false" customHeight="true" outlineLevel="0" collapsed="false">
      <c r="A1238" s="5" t="s">
        <v>74</v>
      </c>
      <c r="B1238" s="5" t="s">
        <v>83</v>
      </c>
      <c r="C1238" s="5" t="s">
        <v>249</v>
      </c>
      <c r="D1238" s="6" t="n">
        <v>0.0900585015259585</v>
      </c>
      <c r="E1238" s="6" t="n">
        <v>0.0230933084498258</v>
      </c>
      <c r="F1238" s="7" t="n">
        <v>9.62856598015833E-005</v>
      </c>
    </row>
    <row r="1239" customFormat="false" ht="15" hidden="false" customHeight="true" outlineLevel="0" collapsed="false">
      <c r="A1239" s="5" t="s">
        <v>74</v>
      </c>
      <c r="B1239" s="5" t="s">
        <v>83</v>
      </c>
      <c r="C1239" s="5" t="s">
        <v>250</v>
      </c>
      <c r="D1239" s="6" t="n">
        <v>0.0858485764037532</v>
      </c>
      <c r="E1239" s="6" t="n">
        <v>0.0233373228298163</v>
      </c>
      <c r="F1239" s="7" t="n">
        <v>0.000234521653033414</v>
      </c>
    </row>
    <row r="1240" customFormat="false" ht="15" hidden="false" customHeight="true" outlineLevel="0" collapsed="false">
      <c r="A1240" s="5" t="s">
        <v>74</v>
      </c>
      <c r="B1240" s="5" t="s">
        <v>83</v>
      </c>
      <c r="C1240" s="5" t="s">
        <v>251</v>
      </c>
      <c r="D1240" s="6" t="n">
        <v>0.0871526435615543</v>
      </c>
      <c r="E1240" s="6" t="n">
        <v>0.0232424464068417</v>
      </c>
      <c r="F1240" s="7" t="n">
        <v>0.000177032813466733</v>
      </c>
    </row>
    <row r="1241" customFormat="false" ht="15" hidden="false" customHeight="true" outlineLevel="0" collapsed="false">
      <c r="A1241" s="5" t="s">
        <v>74</v>
      </c>
      <c r="B1241" s="5" t="s">
        <v>83</v>
      </c>
      <c r="C1241" s="5" t="s">
        <v>252</v>
      </c>
      <c r="D1241" s="6" t="n">
        <v>0.0865410429821058</v>
      </c>
      <c r="E1241" s="6" t="n">
        <v>0.0232588124249477</v>
      </c>
      <c r="F1241" s="7" t="n">
        <v>0.000198604381581402</v>
      </c>
    </row>
    <row r="1242" customFormat="false" ht="15" hidden="false" customHeight="true" outlineLevel="0" collapsed="false">
      <c r="A1242" s="5" t="s">
        <v>74</v>
      </c>
      <c r="B1242" s="5" t="s">
        <v>83</v>
      </c>
      <c r="C1242" s="5" t="s">
        <v>253</v>
      </c>
      <c r="D1242" s="6" t="n">
        <v>0.0859522868196759</v>
      </c>
      <c r="E1242" s="6" t="n">
        <v>0.0233342825489942</v>
      </c>
      <c r="F1242" s="7" t="n">
        <v>0.000230035599018397</v>
      </c>
    </row>
    <row r="1243" customFormat="false" ht="15" hidden="false" customHeight="true" outlineLevel="0" collapsed="false">
      <c r="A1243" s="5" t="s">
        <v>74</v>
      </c>
      <c r="B1243" s="5" t="s">
        <v>83</v>
      </c>
      <c r="C1243" s="5" t="s">
        <v>254</v>
      </c>
      <c r="D1243" s="6" t="n">
        <v>0.0876551331351971</v>
      </c>
      <c r="E1243" s="6" t="n">
        <v>0.0234411913430315</v>
      </c>
      <c r="F1243" s="7" t="n">
        <v>0.000184486860534981</v>
      </c>
    </row>
    <row r="1244" customFormat="false" ht="15" hidden="false" customHeight="true" outlineLevel="0" collapsed="false">
      <c r="A1244" s="5" t="s">
        <v>74</v>
      </c>
      <c r="B1244" s="5" t="s">
        <v>83</v>
      </c>
      <c r="C1244" s="5" t="s">
        <v>255</v>
      </c>
      <c r="D1244" s="6" t="n">
        <v>0.0816476999396167</v>
      </c>
      <c r="E1244" s="6" t="n">
        <v>0.0227829011801688</v>
      </c>
      <c r="F1244" s="7" t="n">
        <v>0.000338726014231131</v>
      </c>
    </row>
    <row r="1245" customFormat="false" ht="15" hidden="false" customHeight="true" outlineLevel="0" collapsed="false">
      <c r="A1245" s="5" t="s">
        <v>74</v>
      </c>
      <c r="B1245" s="5" t="s">
        <v>83</v>
      </c>
      <c r="C1245" s="5" t="s">
        <v>256</v>
      </c>
      <c r="D1245" s="6" t="n">
        <v>0.090614567840225</v>
      </c>
      <c r="E1245" s="6" t="n">
        <v>0.0228530257678514</v>
      </c>
      <c r="F1245" s="7" t="n">
        <v>7.3364707754839E-005</v>
      </c>
    </row>
    <row r="1246" customFormat="false" ht="15" hidden="false" customHeight="true" outlineLevel="0" collapsed="false">
      <c r="A1246" s="5" t="s">
        <v>74</v>
      </c>
      <c r="B1246" s="5" t="s">
        <v>83</v>
      </c>
      <c r="C1246" s="5" t="s">
        <v>257</v>
      </c>
      <c r="D1246" s="6" t="n">
        <v>0.0869607869896238</v>
      </c>
      <c r="E1246" s="6" t="n">
        <v>0.0232711669350886</v>
      </c>
      <c r="F1246" s="7" t="n">
        <v>0.000186342337854696</v>
      </c>
    </row>
    <row r="1247" customFormat="false" ht="15" hidden="false" customHeight="true" outlineLevel="0" collapsed="false">
      <c r="A1247" s="5" t="s">
        <v>74</v>
      </c>
      <c r="B1247" s="5" t="s">
        <v>83</v>
      </c>
      <c r="C1247" s="5" t="s">
        <v>258</v>
      </c>
      <c r="D1247" s="6" t="n">
        <v>0.0852052500763318</v>
      </c>
      <c r="E1247" s="6" t="n">
        <v>0.0233001737073298</v>
      </c>
      <c r="F1247" s="7" t="n">
        <v>0.000255333273021788</v>
      </c>
    </row>
    <row r="1248" customFormat="false" ht="15" hidden="false" customHeight="true" outlineLevel="0" collapsed="false">
      <c r="A1248" s="5" t="s">
        <v>74</v>
      </c>
      <c r="B1248" s="5" t="s">
        <v>83</v>
      </c>
      <c r="C1248" s="5" t="s">
        <v>259</v>
      </c>
      <c r="D1248" s="6" t="n">
        <v>0.0916187926591093</v>
      </c>
      <c r="E1248" s="6" t="n">
        <v>0.0234449429964242</v>
      </c>
      <c r="F1248" s="7" t="n">
        <v>9.3129762662569E-005</v>
      </c>
    </row>
    <row r="1249" customFormat="false" ht="15" hidden="false" customHeight="true" outlineLevel="0" collapsed="false">
      <c r="A1249" s="5" t="s">
        <v>74</v>
      </c>
      <c r="B1249" s="5" t="s">
        <v>83</v>
      </c>
      <c r="C1249" s="5" t="s">
        <v>260</v>
      </c>
      <c r="D1249" s="6" t="n">
        <v>0.083060552450483</v>
      </c>
      <c r="E1249" s="6" t="n">
        <v>0.0232442106052805</v>
      </c>
      <c r="F1249" s="7" t="n">
        <v>0.000352393790515918</v>
      </c>
    </row>
    <row r="1250" customFormat="false" ht="15" hidden="false" customHeight="true" outlineLevel="0" collapsed="false">
      <c r="A1250" s="5" t="s">
        <v>74</v>
      </c>
      <c r="B1250" s="5" t="s">
        <v>83</v>
      </c>
      <c r="C1250" s="5" t="s">
        <v>261</v>
      </c>
      <c r="D1250" s="6" t="n">
        <v>0.0860685933580136</v>
      </c>
      <c r="E1250" s="6" t="n">
        <v>0.0233129812666977</v>
      </c>
      <c r="F1250" s="7" t="n">
        <v>0.000222607599018265</v>
      </c>
    </row>
    <row r="1251" customFormat="false" ht="15" hidden="false" customHeight="true" outlineLevel="0" collapsed="false">
      <c r="A1251" s="5" t="s">
        <v>74</v>
      </c>
      <c r="B1251" s="5" t="s">
        <v>83</v>
      </c>
      <c r="C1251" s="5" t="s">
        <v>262</v>
      </c>
      <c r="D1251" s="6" t="n">
        <v>0.0850332846384031</v>
      </c>
      <c r="E1251" s="6" t="n">
        <v>0.023323253936683</v>
      </c>
      <c r="F1251" s="7" t="n">
        <v>0.000266500551655886</v>
      </c>
    </row>
    <row r="1252" customFormat="false" ht="15" hidden="false" customHeight="true" outlineLevel="0" collapsed="false">
      <c r="A1252" s="5" t="s">
        <v>74</v>
      </c>
      <c r="B1252" s="5" t="s">
        <v>83</v>
      </c>
      <c r="C1252" s="5" t="s">
        <v>263</v>
      </c>
      <c r="D1252" s="6" t="n">
        <v>0.0855391545310534</v>
      </c>
      <c r="E1252" s="6" t="n">
        <v>0.0233150239492246</v>
      </c>
      <c r="F1252" s="7" t="n">
        <v>0.000243650964241796</v>
      </c>
    </row>
    <row r="1253" customFormat="false" ht="15" hidden="false" customHeight="true" outlineLevel="0" collapsed="false">
      <c r="A1253" s="5" t="s">
        <v>74</v>
      </c>
      <c r="B1253" s="5" t="s">
        <v>83</v>
      </c>
      <c r="C1253" s="5" t="s">
        <v>264</v>
      </c>
      <c r="D1253" s="6" t="n">
        <v>0.0861274496735966</v>
      </c>
      <c r="E1253" s="6" t="n">
        <v>0.023326387021657</v>
      </c>
      <c r="F1253" s="7" t="n">
        <v>0.000222256420969414</v>
      </c>
    </row>
    <row r="1254" customFormat="false" ht="15" hidden="false" customHeight="true" outlineLevel="0" collapsed="false">
      <c r="A1254" s="5" t="s">
        <v>74</v>
      </c>
      <c r="B1254" s="5" t="s">
        <v>83</v>
      </c>
      <c r="C1254" s="5" t="s">
        <v>265</v>
      </c>
      <c r="D1254" s="6" t="n">
        <v>0.087897685095433</v>
      </c>
      <c r="E1254" s="6" t="n">
        <v>0.0231833473933884</v>
      </c>
      <c r="F1254" s="7" t="n">
        <v>0.000149791570164377</v>
      </c>
    </row>
    <row r="1255" customFormat="false" ht="15" hidden="false" customHeight="true" outlineLevel="0" collapsed="false">
      <c r="A1255" s="5" t="s">
        <v>74</v>
      </c>
      <c r="B1255" s="5" t="s">
        <v>83</v>
      </c>
      <c r="C1255" s="5" t="s">
        <v>266</v>
      </c>
      <c r="D1255" s="6" t="n">
        <v>0.0858417099012521</v>
      </c>
      <c r="E1255" s="6" t="n">
        <v>0.0233859438321514</v>
      </c>
      <c r="F1255" s="7" t="n">
        <v>0.000241930587401385</v>
      </c>
    </row>
    <row r="1256" customFormat="false" ht="15" hidden="false" customHeight="true" outlineLevel="0" collapsed="false">
      <c r="A1256" s="5" t="s">
        <v>74</v>
      </c>
      <c r="B1256" s="5" t="s">
        <v>83</v>
      </c>
      <c r="C1256" s="5" t="s">
        <v>267</v>
      </c>
      <c r="D1256" s="6" t="n">
        <v>0.0902719512737266</v>
      </c>
      <c r="E1256" s="6" t="n">
        <v>0.023017747140851</v>
      </c>
      <c r="F1256" s="7" t="n">
        <v>8.78748666166894E-005</v>
      </c>
    </row>
    <row r="1257" customFormat="false" ht="15" hidden="false" customHeight="true" outlineLevel="0" collapsed="false">
      <c r="A1257" s="5" t="s">
        <v>74</v>
      </c>
      <c r="B1257" s="5" t="s">
        <v>83</v>
      </c>
      <c r="C1257" s="5" t="s">
        <v>268</v>
      </c>
      <c r="D1257" s="6" t="n">
        <v>0.0859631144067773</v>
      </c>
      <c r="E1257" s="6" t="n">
        <v>0.023317313857259</v>
      </c>
      <c r="F1257" s="7" t="n">
        <v>0.000227212544271328</v>
      </c>
    </row>
    <row r="1258" customFormat="false" ht="15" hidden="false" customHeight="true" outlineLevel="0" collapsed="false">
      <c r="A1258" s="5" t="s">
        <v>74</v>
      </c>
      <c r="B1258" s="5" t="s">
        <v>83</v>
      </c>
      <c r="C1258" s="5" t="s">
        <v>269</v>
      </c>
      <c r="D1258" s="6" t="n">
        <v>0.0850855393682918</v>
      </c>
      <c r="E1258" s="6" t="n">
        <v>0.0232791365382865</v>
      </c>
      <c r="F1258" s="7" t="n">
        <v>0.000257169261017066</v>
      </c>
    </row>
    <row r="1259" customFormat="false" ht="15" hidden="false" customHeight="true" outlineLevel="0" collapsed="false">
      <c r="A1259" s="5" t="s">
        <v>74</v>
      </c>
      <c r="B1259" s="5" t="s">
        <v>83</v>
      </c>
      <c r="C1259" s="5" t="s">
        <v>270</v>
      </c>
      <c r="D1259" s="6" t="n">
        <v>0.0845376008701953</v>
      </c>
      <c r="E1259" s="6" t="n">
        <v>0.0232123513363144</v>
      </c>
      <c r="F1259" s="7" t="n">
        <v>0.00027060881200849</v>
      </c>
    </row>
    <row r="1260" customFormat="false" ht="15" hidden="false" customHeight="true" outlineLevel="0" collapsed="false">
      <c r="A1260" s="5" t="s">
        <v>74</v>
      </c>
      <c r="B1260" s="5" t="s">
        <v>83</v>
      </c>
      <c r="C1260" s="5" t="s">
        <v>768</v>
      </c>
      <c r="D1260" s="6" t="n">
        <v>0.08716033432861</v>
      </c>
      <c r="E1260" s="6" t="n">
        <v>0.0233360122578301</v>
      </c>
      <c r="F1260" s="7" t="n">
        <v>0.000187704685872261</v>
      </c>
    </row>
    <row r="1261" customFormat="false" ht="15" hidden="false" customHeight="true" outlineLevel="0" collapsed="false">
      <c r="A1261" s="5" t="s">
        <v>74</v>
      </c>
      <c r="B1261" s="5" t="s">
        <v>83</v>
      </c>
      <c r="C1261" s="5" t="s">
        <v>271</v>
      </c>
      <c r="D1261" s="6" t="n">
        <v>0.0851088416795508</v>
      </c>
      <c r="E1261" s="6" t="n">
        <v>0.0233149845576224</v>
      </c>
      <c r="F1261" s="7" t="n">
        <v>0.000261840015737545</v>
      </c>
    </row>
    <row r="1262" customFormat="false" ht="15" hidden="false" customHeight="true" outlineLevel="0" collapsed="false">
      <c r="A1262" s="5" t="s">
        <v>74</v>
      </c>
      <c r="B1262" s="5" t="s">
        <v>83</v>
      </c>
      <c r="C1262" s="5" t="s">
        <v>272</v>
      </c>
      <c r="D1262" s="6" t="n">
        <v>0.0857863695411092</v>
      </c>
      <c r="E1262" s="6" t="n">
        <v>0.0233140674417333</v>
      </c>
      <c r="F1262" s="7" t="n">
        <v>0.000233602943642343</v>
      </c>
    </row>
    <row r="1263" customFormat="false" ht="15" hidden="false" customHeight="true" outlineLevel="0" collapsed="false">
      <c r="A1263" s="5" t="s">
        <v>74</v>
      </c>
      <c r="B1263" s="5" t="s">
        <v>83</v>
      </c>
      <c r="C1263" s="5" t="s">
        <v>273</v>
      </c>
      <c r="D1263" s="6" t="n">
        <v>0.0845160866654189</v>
      </c>
      <c r="E1263" s="6" t="n">
        <v>0.0232438738925467</v>
      </c>
      <c r="F1263" s="7" t="n">
        <v>0.000276841421568009</v>
      </c>
    </row>
    <row r="1264" customFormat="false" ht="15" hidden="false" customHeight="true" outlineLevel="0" collapsed="false">
      <c r="A1264" s="5" t="s">
        <v>74</v>
      </c>
      <c r="B1264" s="5" t="s">
        <v>83</v>
      </c>
      <c r="C1264" s="5" t="s">
        <v>274</v>
      </c>
      <c r="D1264" s="6" t="n">
        <v>0.0835521779754905</v>
      </c>
      <c r="E1264" s="6" t="n">
        <v>0.0235740410671253</v>
      </c>
      <c r="F1264" s="7" t="n">
        <v>0.000393739126856611</v>
      </c>
    </row>
    <row r="1265" customFormat="false" ht="15" hidden="false" customHeight="true" outlineLevel="0" collapsed="false">
      <c r="A1265" s="5" t="s">
        <v>74</v>
      </c>
      <c r="B1265" s="5" t="s">
        <v>83</v>
      </c>
      <c r="C1265" s="5" t="s">
        <v>275</v>
      </c>
      <c r="D1265" s="6" t="n">
        <v>0.0847905818629134</v>
      </c>
      <c r="E1265" s="6" t="n">
        <v>0.0233115533721236</v>
      </c>
      <c r="F1265" s="7" t="n">
        <v>0.000275535338699847</v>
      </c>
    </row>
    <row r="1266" customFormat="false" ht="15" hidden="false" customHeight="true" outlineLevel="0" collapsed="false">
      <c r="A1266" s="5" t="s">
        <v>74</v>
      </c>
      <c r="B1266" s="5" t="s">
        <v>83</v>
      </c>
      <c r="C1266" s="5" t="s">
        <v>276</v>
      </c>
      <c r="D1266" s="6" t="n">
        <v>0.0880578075097163</v>
      </c>
      <c r="E1266" s="6" t="n">
        <v>0.0231952682790439</v>
      </c>
      <c r="F1266" s="7" t="n">
        <v>0.000146830638735273</v>
      </c>
    </row>
    <row r="1267" customFormat="false" ht="15" hidden="false" customHeight="true" outlineLevel="0" collapsed="false">
      <c r="A1267" s="5" t="s">
        <v>74</v>
      </c>
      <c r="B1267" s="5" t="s">
        <v>83</v>
      </c>
      <c r="C1267" s="5" t="s">
        <v>277</v>
      </c>
      <c r="D1267" s="6" t="n">
        <v>0.0846849764114753</v>
      </c>
      <c r="E1267" s="6" t="n">
        <v>0.0232830238117444</v>
      </c>
      <c r="F1267" s="7" t="n">
        <v>0.000275619655358381</v>
      </c>
    </row>
    <row r="1268" customFormat="false" ht="15" hidden="false" customHeight="true" outlineLevel="0" collapsed="false">
      <c r="A1268" s="5" t="s">
        <v>74</v>
      </c>
      <c r="B1268" s="5" t="s">
        <v>83</v>
      </c>
      <c r="C1268" s="5" t="s">
        <v>278</v>
      </c>
      <c r="D1268" s="6" t="n">
        <v>0.0845435300671732</v>
      </c>
      <c r="E1268" s="6" t="n">
        <v>0.0233411350963349</v>
      </c>
      <c r="F1268" s="7" t="n">
        <v>0.000292240247634658</v>
      </c>
    </row>
    <row r="1269" customFormat="false" ht="15" hidden="false" customHeight="true" outlineLevel="0" collapsed="false">
      <c r="A1269" s="5" t="s">
        <v>74</v>
      </c>
      <c r="B1269" s="5" t="s">
        <v>83</v>
      </c>
      <c r="C1269" s="5" t="s">
        <v>769</v>
      </c>
      <c r="D1269" s="6" t="n">
        <v>0.0838357956588184</v>
      </c>
      <c r="E1269" s="6" t="n">
        <v>0.0231260301041231</v>
      </c>
      <c r="F1269" s="7" t="n">
        <v>0.000288771182671809</v>
      </c>
    </row>
    <row r="1270" customFormat="false" ht="15" hidden="false" customHeight="true" outlineLevel="0" collapsed="false">
      <c r="A1270" s="5" t="s">
        <v>74</v>
      </c>
      <c r="B1270" s="5" t="s">
        <v>83</v>
      </c>
      <c r="C1270" s="5" t="s">
        <v>279</v>
      </c>
      <c r="D1270" s="6" t="n">
        <v>0.0853041842618086</v>
      </c>
      <c r="E1270" s="6" t="n">
        <v>0.0233576588435738</v>
      </c>
      <c r="F1270" s="7" t="n">
        <v>0.000260118502961125</v>
      </c>
    </row>
    <row r="1271" customFormat="false" ht="15" hidden="false" customHeight="true" outlineLevel="0" collapsed="false">
      <c r="A1271" s="5" t="s">
        <v>74</v>
      </c>
      <c r="B1271" s="5" t="s">
        <v>83</v>
      </c>
      <c r="C1271" s="5" t="s">
        <v>280</v>
      </c>
      <c r="D1271" s="6" t="n">
        <v>0.0875108792682523</v>
      </c>
      <c r="E1271" s="6" t="n">
        <v>0.023192290855035</v>
      </c>
      <c r="F1271" s="7" t="n">
        <v>0.00016111885933432</v>
      </c>
    </row>
    <row r="1272" customFormat="false" ht="15" hidden="false" customHeight="true" outlineLevel="0" collapsed="false">
      <c r="A1272" s="5" t="s">
        <v>74</v>
      </c>
      <c r="B1272" s="5" t="s">
        <v>83</v>
      </c>
      <c r="C1272" s="5" t="s">
        <v>281</v>
      </c>
      <c r="D1272" s="6" t="n">
        <v>0.0847314695421757</v>
      </c>
      <c r="E1272" s="6" t="n">
        <v>0.0233763157080318</v>
      </c>
      <c r="F1272" s="7" t="n">
        <v>0.000289328771855451</v>
      </c>
    </row>
    <row r="1273" customFormat="false" ht="15" hidden="false" customHeight="true" outlineLevel="0" collapsed="false">
      <c r="A1273" s="5" t="s">
        <v>74</v>
      </c>
      <c r="B1273" s="5" t="s">
        <v>83</v>
      </c>
      <c r="C1273" s="5" t="s">
        <v>282</v>
      </c>
      <c r="D1273" s="6" t="n">
        <v>0.0845199442418635</v>
      </c>
      <c r="E1273" s="6" t="n">
        <v>0.0232915316425839</v>
      </c>
      <c r="F1273" s="7" t="n">
        <v>0.000284759044229136</v>
      </c>
    </row>
    <row r="1274" customFormat="false" ht="15" hidden="false" customHeight="true" outlineLevel="0" collapsed="false">
      <c r="A1274" s="5" t="s">
        <v>74</v>
      </c>
      <c r="B1274" s="5" t="s">
        <v>83</v>
      </c>
      <c r="C1274" s="5" t="s">
        <v>770</v>
      </c>
      <c r="D1274" s="6" t="n">
        <v>0.0845197192407371</v>
      </c>
      <c r="E1274" s="6" t="n">
        <v>0.0232443821315056</v>
      </c>
      <c r="F1274" s="7" t="n">
        <v>0.000276758967351127</v>
      </c>
    </row>
    <row r="1275" customFormat="false" ht="15" hidden="false" customHeight="true" outlineLevel="0" collapsed="false">
      <c r="A1275" s="5" t="s">
        <v>74</v>
      </c>
      <c r="B1275" s="5" t="s">
        <v>83</v>
      </c>
      <c r="C1275" s="5" t="s">
        <v>283</v>
      </c>
      <c r="D1275" s="6" t="n">
        <v>0.0866250407746269</v>
      </c>
      <c r="E1275" s="6" t="n">
        <v>0.0233198768695615</v>
      </c>
      <c r="F1275" s="7" t="n">
        <v>0.000203489963979282</v>
      </c>
    </row>
    <row r="1276" customFormat="false" ht="15" hidden="false" customHeight="true" outlineLevel="0" collapsed="false">
      <c r="A1276" s="5" t="s">
        <v>74</v>
      </c>
      <c r="B1276" s="5" t="s">
        <v>83</v>
      </c>
      <c r="C1276" s="5" t="s">
        <v>284</v>
      </c>
      <c r="D1276" s="6" t="n">
        <v>0.0851802657502723</v>
      </c>
      <c r="E1276" s="6" t="n">
        <v>0.0232921837489326</v>
      </c>
      <c r="F1276" s="7" t="n">
        <v>0.000255152348267328</v>
      </c>
    </row>
    <row r="1277" customFormat="false" ht="15" hidden="false" customHeight="true" outlineLevel="0" collapsed="false">
      <c r="A1277" s="5" t="s">
        <v>74</v>
      </c>
      <c r="B1277" s="5" t="s">
        <v>83</v>
      </c>
      <c r="C1277" s="5" t="s">
        <v>285</v>
      </c>
      <c r="D1277" s="6" t="n">
        <v>0.0892472110243966</v>
      </c>
      <c r="E1277" s="6" t="n">
        <v>0.0228745793735809</v>
      </c>
      <c r="F1277" s="7" t="n">
        <v>9.55632484572665E-005</v>
      </c>
    </row>
    <row r="1278" customFormat="false" ht="15" hidden="false" customHeight="true" outlineLevel="0" collapsed="false">
      <c r="A1278" s="5" t="s">
        <v>74</v>
      </c>
      <c r="B1278" s="5" t="s">
        <v>83</v>
      </c>
      <c r="C1278" s="5" t="s">
        <v>286</v>
      </c>
      <c r="D1278" s="6" t="n">
        <v>0.0880217881513647</v>
      </c>
      <c r="E1278" s="6" t="n">
        <v>0.023262802500036</v>
      </c>
      <c r="F1278" s="7" t="n">
        <v>0.000154452058314326</v>
      </c>
    </row>
    <row r="1279" customFormat="false" ht="15" hidden="false" customHeight="true" outlineLevel="0" collapsed="false">
      <c r="A1279" s="5" t="s">
        <v>74</v>
      </c>
      <c r="B1279" s="5" t="s">
        <v>83</v>
      </c>
      <c r="C1279" s="5" t="s">
        <v>287</v>
      </c>
      <c r="D1279" s="6" t="n">
        <v>0.0861981370308453</v>
      </c>
      <c r="E1279" s="6" t="n">
        <v>0.0233186191042524</v>
      </c>
      <c r="F1279" s="7" t="n">
        <v>0.000218560465303702</v>
      </c>
    </row>
    <row r="1280" customFormat="false" ht="15" hidden="false" customHeight="true" outlineLevel="0" collapsed="false">
      <c r="A1280" s="5" t="s">
        <v>74</v>
      </c>
      <c r="B1280" s="5" t="s">
        <v>83</v>
      </c>
      <c r="C1280" s="5" t="s">
        <v>288</v>
      </c>
      <c r="D1280" s="6" t="n">
        <v>0.0836457404893929</v>
      </c>
      <c r="E1280" s="6" t="n">
        <v>0.0231481248436814</v>
      </c>
      <c r="F1280" s="7" t="n">
        <v>0.000302091790138607</v>
      </c>
    </row>
    <row r="1281" customFormat="false" ht="15" hidden="false" customHeight="true" outlineLevel="0" collapsed="false">
      <c r="A1281" s="5" t="s">
        <v>74</v>
      </c>
      <c r="B1281" s="5" t="s">
        <v>83</v>
      </c>
      <c r="C1281" s="5" t="s">
        <v>771</v>
      </c>
      <c r="D1281" s="6" t="n">
        <v>0.0837456260001536</v>
      </c>
      <c r="E1281" s="6" t="n">
        <v>0.0232883706365737</v>
      </c>
      <c r="F1281" s="7" t="n">
        <v>0.000323113403339869</v>
      </c>
    </row>
    <row r="1282" customFormat="false" ht="15" hidden="false" customHeight="true" outlineLevel="0" collapsed="false">
      <c r="A1282" s="5" t="s">
        <v>74</v>
      </c>
      <c r="B1282" s="5" t="s">
        <v>83</v>
      </c>
      <c r="C1282" s="5" t="s">
        <v>289</v>
      </c>
      <c r="D1282" s="6" t="n">
        <v>0.088806807858847</v>
      </c>
      <c r="E1282" s="6" t="n">
        <v>0.0236292075975466</v>
      </c>
      <c r="F1282" s="7" t="n">
        <v>0.000171038233109253</v>
      </c>
    </row>
    <row r="1283" customFormat="false" ht="15" hidden="false" customHeight="true" outlineLevel="0" collapsed="false">
      <c r="A1283" s="5" t="s">
        <v>74</v>
      </c>
      <c r="B1283" s="5" t="s">
        <v>83</v>
      </c>
      <c r="C1283" s="5" t="s">
        <v>290</v>
      </c>
      <c r="D1283" s="6" t="n">
        <v>0.0840947571665057</v>
      </c>
      <c r="E1283" s="6" t="n">
        <v>0.0230996692530801</v>
      </c>
      <c r="F1283" s="7" t="n">
        <v>0.000272090291923094</v>
      </c>
    </row>
    <row r="1284" customFormat="false" ht="15" hidden="false" customHeight="true" outlineLevel="0" collapsed="false">
      <c r="A1284" s="5" t="s">
        <v>74</v>
      </c>
      <c r="B1284" s="5" t="s">
        <v>83</v>
      </c>
      <c r="C1284" s="5" t="s">
        <v>291</v>
      </c>
      <c r="D1284" s="6" t="n">
        <v>0.087964896698091</v>
      </c>
      <c r="E1284" s="6" t="n">
        <v>0.0232943494467284</v>
      </c>
      <c r="F1284" s="7" t="n">
        <v>0.000159217906801048</v>
      </c>
    </row>
    <row r="1285" customFormat="false" ht="15" hidden="false" customHeight="true" outlineLevel="0" collapsed="false">
      <c r="A1285" s="5" t="s">
        <v>74</v>
      </c>
      <c r="B1285" s="5" t="s">
        <v>83</v>
      </c>
      <c r="C1285" s="5" t="s">
        <v>292</v>
      </c>
      <c r="D1285" s="6" t="n">
        <v>0.0853465398676538</v>
      </c>
      <c r="E1285" s="6" t="n">
        <v>0.0233071915352824</v>
      </c>
      <c r="F1285" s="7" t="n">
        <v>0.000250438197470114</v>
      </c>
    </row>
    <row r="1286" customFormat="false" ht="15" hidden="false" customHeight="true" outlineLevel="0" collapsed="false">
      <c r="A1286" s="5" t="s">
        <v>74</v>
      </c>
      <c r="B1286" s="5" t="s">
        <v>83</v>
      </c>
      <c r="C1286" s="5" t="s">
        <v>186</v>
      </c>
      <c r="D1286" s="6" t="n">
        <v>0.0895361523202399</v>
      </c>
      <c r="E1286" s="6" t="n">
        <v>0.0250035420383732</v>
      </c>
      <c r="F1286" s="7" t="n">
        <v>0.000342361926294046</v>
      </c>
    </row>
    <row r="1287" customFormat="false" ht="15" hidden="false" customHeight="true" outlineLevel="0" collapsed="false">
      <c r="A1287" s="5" t="s">
        <v>74</v>
      </c>
      <c r="B1287" s="5" t="s">
        <v>83</v>
      </c>
      <c r="C1287" s="5" t="s">
        <v>293</v>
      </c>
      <c r="D1287" s="6" t="n">
        <v>0.0846213978663987</v>
      </c>
      <c r="E1287" s="6" t="n">
        <v>0.0232475075858824</v>
      </c>
      <c r="F1287" s="7" t="n">
        <v>0.000272616623533783</v>
      </c>
    </row>
    <row r="1288" customFormat="false" ht="15" hidden="false" customHeight="true" outlineLevel="0" collapsed="false">
      <c r="A1288" s="5" t="s">
        <v>74</v>
      </c>
      <c r="B1288" s="5" t="s">
        <v>83</v>
      </c>
      <c r="C1288" s="5" t="s">
        <v>294</v>
      </c>
      <c r="D1288" s="6" t="n">
        <v>0.0866366124592608</v>
      </c>
      <c r="E1288" s="6" t="n">
        <v>0.0232858814631458</v>
      </c>
      <c r="F1288" s="7" t="n">
        <v>0.000198778352246168</v>
      </c>
    </row>
    <row r="1289" customFormat="false" ht="15" hidden="false" customHeight="true" outlineLevel="0" collapsed="false">
      <c r="A1289" s="5" t="s">
        <v>74</v>
      </c>
      <c r="B1289" s="5" t="s">
        <v>83</v>
      </c>
      <c r="C1289" s="5" t="s">
        <v>295</v>
      </c>
      <c r="D1289" s="6" t="n">
        <v>0.0863651594337828</v>
      </c>
      <c r="E1289" s="6" t="n">
        <v>0.0233367227967091</v>
      </c>
      <c r="F1289" s="7" t="n">
        <v>0.000214898476328647</v>
      </c>
    </row>
    <row r="1290" customFormat="false" ht="15" hidden="false" customHeight="true" outlineLevel="0" collapsed="false">
      <c r="A1290" s="5" t="s">
        <v>74</v>
      </c>
      <c r="B1290" s="5" t="s">
        <v>83</v>
      </c>
      <c r="C1290" s="5" t="s">
        <v>296</v>
      </c>
      <c r="D1290" s="6" t="n">
        <v>0.0848284836742353</v>
      </c>
      <c r="E1290" s="6" t="n">
        <v>0.0233421194249526</v>
      </c>
      <c r="F1290" s="7" t="n">
        <v>0.000278911534156124</v>
      </c>
    </row>
    <row r="1291" customFormat="false" ht="15" hidden="false" customHeight="true" outlineLevel="0" collapsed="false">
      <c r="A1291" s="5" t="s">
        <v>74</v>
      </c>
      <c r="B1291" s="5" t="s">
        <v>83</v>
      </c>
      <c r="C1291" s="5" t="s">
        <v>297</v>
      </c>
      <c r="D1291" s="6" t="n">
        <v>0.0853125274488407</v>
      </c>
      <c r="E1291" s="6" t="n">
        <v>0.0233323065423276</v>
      </c>
      <c r="F1291" s="7" t="n">
        <v>0.000255770081193236</v>
      </c>
    </row>
    <row r="1292" customFormat="false" ht="15" hidden="false" customHeight="true" outlineLevel="0" collapsed="false">
      <c r="A1292" s="5" t="s">
        <v>74</v>
      </c>
      <c r="B1292" s="5" t="s">
        <v>83</v>
      </c>
      <c r="C1292" s="5" t="s">
        <v>298</v>
      </c>
      <c r="D1292" s="6" t="n">
        <v>0.0852727773417377</v>
      </c>
      <c r="E1292" s="6" t="n">
        <v>0.0233255758533461</v>
      </c>
      <c r="F1292" s="7" t="n">
        <v>0.000256418162950126</v>
      </c>
    </row>
    <row r="1293" customFormat="false" ht="15" hidden="false" customHeight="true" outlineLevel="0" collapsed="false">
      <c r="A1293" s="5" t="s">
        <v>74</v>
      </c>
      <c r="B1293" s="5" t="s">
        <v>83</v>
      </c>
      <c r="C1293" s="5" t="s">
        <v>299</v>
      </c>
      <c r="D1293" s="6" t="n">
        <v>0.0890536107305286</v>
      </c>
      <c r="E1293" s="6" t="n">
        <v>0.0234458903787464</v>
      </c>
      <c r="F1293" s="7" t="n">
        <v>0.000145714848755402</v>
      </c>
    </row>
    <row r="1294" customFormat="false" ht="15" hidden="false" customHeight="true" outlineLevel="0" collapsed="false">
      <c r="A1294" s="5" t="s">
        <v>74</v>
      </c>
      <c r="B1294" s="5" t="s">
        <v>83</v>
      </c>
      <c r="C1294" s="5" t="s">
        <v>300</v>
      </c>
      <c r="D1294" s="6" t="n">
        <v>0.0845837918960255</v>
      </c>
      <c r="E1294" s="6" t="n">
        <v>0.0233028095325751</v>
      </c>
      <c r="F1294" s="7" t="n">
        <v>0.000283676090530793</v>
      </c>
    </row>
    <row r="1295" customFormat="false" ht="15" hidden="false" customHeight="true" outlineLevel="0" collapsed="false">
      <c r="A1295" s="5" t="s">
        <v>74</v>
      </c>
      <c r="B1295" s="5" t="s">
        <v>83</v>
      </c>
      <c r="C1295" s="5" t="s">
        <v>301</v>
      </c>
      <c r="D1295" s="6" t="n">
        <v>0.0889215686196428</v>
      </c>
      <c r="E1295" s="6" t="n">
        <v>0.0230100168139855</v>
      </c>
      <c r="F1295" s="7" t="n">
        <v>0.000111329701386192</v>
      </c>
    </row>
    <row r="1296" customFormat="false" ht="15" hidden="false" customHeight="true" outlineLevel="0" collapsed="false">
      <c r="A1296" s="5" t="s">
        <v>74</v>
      </c>
      <c r="B1296" s="5" t="s">
        <v>83</v>
      </c>
      <c r="C1296" s="5" t="s">
        <v>772</v>
      </c>
      <c r="D1296" s="6" t="n">
        <v>0.0851915088505806</v>
      </c>
      <c r="E1296" s="6" t="n">
        <v>0.0232902384495763</v>
      </c>
      <c r="F1296" s="7" t="n">
        <v>0.000254369202108066</v>
      </c>
    </row>
    <row r="1297" customFormat="false" ht="15" hidden="false" customHeight="true" outlineLevel="0" collapsed="false">
      <c r="A1297" s="5" t="s">
        <v>74</v>
      </c>
      <c r="B1297" s="5" t="s">
        <v>83</v>
      </c>
      <c r="C1297" s="5" t="s">
        <v>773</v>
      </c>
      <c r="D1297" s="6" t="n">
        <v>0.0866125683057419</v>
      </c>
      <c r="E1297" s="6" t="n">
        <v>0.0232866011078822</v>
      </c>
      <c r="F1297" s="7" t="n">
        <v>0.000199683548413058</v>
      </c>
    </row>
    <row r="1298" customFormat="false" ht="15" hidden="false" customHeight="true" outlineLevel="0" collapsed="false">
      <c r="A1298" s="5" t="s">
        <v>74</v>
      </c>
      <c r="B1298" s="5" t="s">
        <v>83</v>
      </c>
      <c r="C1298" s="5" t="s">
        <v>302</v>
      </c>
      <c r="D1298" s="6" t="n">
        <v>0.082174000150715</v>
      </c>
      <c r="E1298" s="6" t="n">
        <v>0.0230205871647141</v>
      </c>
      <c r="F1298" s="7" t="n">
        <v>0.000357543783540718</v>
      </c>
    </row>
    <row r="1299" customFormat="false" ht="15" hidden="false" customHeight="true" outlineLevel="0" collapsed="false">
      <c r="A1299" s="5" t="s">
        <v>74</v>
      </c>
      <c r="B1299" s="5" t="s">
        <v>83</v>
      </c>
      <c r="C1299" s="5" t="s">
        <v>303</v>
      </c>
      <c r="D1299" s="6" t="n">
        <v>0.085871189509015</v>
      </c>
      <c r="E1299" s="6" t="n">
        <v>0.023556509759811</v>
      </c>
      <c r="F1299" s="7" t="n">
        <v>0.000267051642948922</v>
      </c>
    </row>
    <row r="1300" customFormat="false" ht="15" hidden="false" customHeight="true" outlineLevel="0" collapsed="false">
      <c r="A1300" s="5" t="s">
        <v>74</v>
      </c>
      <c r="B1300" s="5" t="s">
        <v>83</v>
      </c>
      <c r="C1300" s="5" t="s">
        <v>304</v>
      </c>
      <c r="D1300" s="6" t="n">
        <v>0.0850337402016221</v>
      </c>
      <c r="E1300" s="6" t="n">
        <v>0.0233156939294279</v>
      </c>
      <c r="F1300" s="7" t="n">
        <v>0.000265257757624869</v>
      </c>
    </row>
    <row r="1301" customFormat="false" ht="15" hidden="false" customHeight="true" outlineLevel="0" collapsed="false">
      <c r="A1301" s="5" t="s">
        <v>74</v>
      </c>
      <c r="B1301" s="5" t="s">
        <v>83</v>
      </c>
      <c r="C1301" s="5" t="s">
        <v>305</v>
      </c>
      <c r="D1301" s="6" t="n">
        <v>0.0854902807717073</v>
      </c>
      <c r="E1301" s="6" t="n">
        <v>0.0232978125772088</v>
      </c>
      <c r="F1301" s="7" t="n">
        <v>0.000243067877228266</v>
      </c>
    </row>
    <row r="1302" customFormat="false" ht="15" hidden="false" customHeight="true" outlineLevel="0" collapsed="false">
      <c r="A1302" s="5" t="s">
        <v>74</v>
      </c>
      <c r="B1302" s="5" t="s">
        <v>83</v>
      </c>
      <c r="C1302" s="5" t="s">
        <v>306</v>
      </c>
      <c r="D1302" s="6" t="n">
        <v>0.085784575297348</v>
      </c>
      <c r="E1302" s="6" t="n">
        <v>0.0231662292997347</v>
      </c>
      <c r="F1302" s="7" t="n">
        <v>0.000213063859359713</v>
      </c>
    </row>
    <row r="1303" customFormat="false" ht="15" hidden="false" customHeight="true" outlineLevel="0" collapsed="false">
      <c r="A1303" s="5" t="s">
        <v>88</v>
      </c>
      <c r="B1303" s="5" t="s">
        <v>83</v>
      </c>
      <c r="C1303" s="5" t="s">
        <v>307</v>
      </c>
      <c r="D1303" s="6" t="n">
        <v>0.120009851658865</v>
      </c>
      <c r="E1303" s="6" t="n">
        <v>0.0411031242149135</v>
      </c>
      <c r="F1303" s="7" t="n">
        <v>0.00350339505242933</v>
      </c>
    </row>
    <row r="1304" customFormat="false" ht="15" hidden="false" customHeight="true" outlineLevel="0" collapsed="false">
      <c r="A1304" s="5" t="s">
        <v>88</v>
      </c>
      <c r="B1304" s="5" t="s">
        <v>83</v>
      </c>
      <c r="C1304" s="5" t="s">
        <v>308</v>
      </c>
      <c r="D1304" s="6" t="n">
        <v>0.121608496687313</v>
      </c>
      <c r="E1304" s="6" t="n">
        <v>0.0411538582923339</v>
      </c>
      <c r="F1304" s="7" t="n">
        <v>0.00312697484496195</v>
      </c>
    </row>
    <row r="1305" customFormat="false" ht="15" hidden="false" customHeight="true" outlineLevel="0" collapsed="false">
      <c r="A1305" s="5" t="s">
        <v>88</v>
      </c>
      <c r="B1305" s="5" t="s">
        <v>83</v>
      </c>
      <c r="C1305" s="5" t="s">
        <v>309</v>
      </c>
      <c r="D1305" s="6" t="n">
        <v>0.119698520902906</v>
      </c>
      <c r="E1305" s="6" t="n">
        <v>0.0410591664716378</v>
      </c>
      <c r="F1305" s="7" t="n">
        <v>0.0035538192437383</v>
      </c>
    </row>
    <row r="1306" customFormat="false" ht="15" hidden="false" customHeight="true" outlineLevel="0" collapsed="false">
      <c r="A1306" s="5" t="s">
        <v>88</v>
      </c>
      <c r="B1306" s="5" t="s">
        <v>83</v>
      </c>
      <c r="C1306" s="5" t="s">
        <v>310</v>
      </c>
      <c r="D1306" s="6" t="n">
        <v>0.120173208253297</v>
      </c>
      <c r="E1306" s="6" t="n">
        <v>0.0411438096057885</v>
      </c>
      <c r="F1306" s="7" t="n">
        <v>0.00349123823087386</v>
      </c>
    </row>
    <row r="1307" customFormat="false" ht="15" hidden="false" customHeight="true" outlineLevel="0" collapsed="false">
      <c r="A1307" s="5" t="s">
        <v>88</v>
      </c>
      <c r="B1307" s="5" t="s">
        <v>83</v>
      </c>
      <c r="C1307" s="5" t="s">
        <v>311</v>
      </c>
      <c r="D1307" s="6" t="n">
        <v>0.121119092200251</v>
      </c>
      <c r="E1307" s="6" t="n">
        <v>0.0412049602666356</v>
      </c>
      <c r="F1307" s="7" t="n">
        <v>0.00328816643218612</v>
      </c>
    </row>
    <row r="1308" customFormat="false" ht="15" hidden="false" customHeight="true" outlineLevel="0" collapsed="false">
      <c r="A1308" s="5" t="s">
        <v>88</v>
      </c>
      <c r="B1308" s="5" t="s">
        <v>83</v>
      </c>
      <c r="C1308" s="5" t="s">
        <v>312</v>
      </c>
      <c r="D1308" s="6" t="n">
        <v>0.123658912435667</v>
      </c>
      <c r="E1308" s="6" t="n">
        <v>0.041059604005993</v>
      </c>
      <c r="F1308" s="7" t="n">
        <v>0.00259795392242224</v>
      </c>
    </row>
    <row r="1309" customFormat="false" ht="15" hidden="false" customHeight="true" outlineLevel="0" collapsed="false">
      <c r="A1309" s="5" t="s">
        <v>88</v>
      </c>
      <c r="B1309" s="5" t="s">
        <v>83</v>
      </c>
      <c r="C1309" s="5" t="s">
        <v>313</v>
      </c>
      <c r="D1309" s="6" t="n">
        <v>0.122664807056692</v>
      </c>
      <c r="E1309" s="6" t="n">
        <v>0.0411215660766358</v>
      </c>
      <c r="F1309" s="7" t="n">
        <v>0.00285456695188663</v>
      </c>
    </row>
    <row r="1310" customFormat="false" ht="15" hidden="false" customHeight="true" outlineLevel="0" collapsed="false">
      <c r="A1310" s="5" t="s">
        <v>88</v>
      </c>
      <c r="B1310" s="5" t="s">
        <v>83</v>
      </c>
      <c r="C1310" s="5" t="s">
        <v>314</v>
      </c>
      <c r="D1310" s="6" t="n">
        <v>0.123999142064999</v>
      </c>
      <c r="E1310" s="6" t="n">
        <v>0.0413126386655033</v>
      </c>
      <c r="F1310" s="7" t="n">
        <v>0.00268668906982263</v>
      </c>
    </row>
    <row r="1311" customFormat="false" ht="15" hidden="false" customHeight="true" outlineLevel="0" collapsed="false">
      <c r="A1311" s="5" t="s">
        <v>88</v>
      </c>
      <c r="B1311" s="5" t="s">
        <v>83</v>
      </c>
      <c r="C1311" s="5" t="s">
        <v>774</v>
      </c>
      <c r="D1311" s="6" t="n">
        <v>0.12153479727761</v>
      </c>
      <c r="E1311" s="6" t="n">
        <v>0.0411346222365295</v>
      </c>
      <c r="F1311" s="7" t="n">
        <v>0.00313113095557463</v>
      </c>
    </row>
    <row r="1312" customFormat="false" ht="15" hidden="false" customHeight="true" outlineLevel="0" collapsed="false">
      <c r="A1312" s="5" t="s">
        <v>88</v>
      </c>
      <c r="B1312" s="5" t="s">
        <v>83</v>
      </c>
      <c r="C1312" s="5" t="s">
        <v>315</v>
      </c>
      <c r="D1312" s="6" t="n">
        <v>0.123021404154969</v>
      </c>
      <c r="E1312" s="6" t="n">
        <v>0.0410718542429216</v>
      </c>
      <c r="F1312" s="7" t="n">
        <v>0.00274199570133874</v>
      </c>
    </row>
    <row r="1313" customFormat="false" ht="15" hidden="false" customHeight="true" outlineLevel="0" collapsed="false">
      <c r="A1313" s="5" t="s">
        <v>88</v>
      </c>
      <c r="B1313" s="5" t="s">
        <v>83</v>
      </c>
      <c r="C1313" s="5" t="s">
        <v>316</v>
      </c>
      <c r="D1313" s="6" t="n">
        <v>0.120171348271232</v>
      </c>
      <c r="E1313" s="6" t="n">
        <v>0.0411300951419761</v>
      </c>
      <c r="F1313" s="7" t="n">
        <v>0.00348084586739197</v>
      </c>
    </row>
    <row r="1314" customFormat="false" ht="15" hidden="false" customHeight="true" outlineLevel="0" collapsed="false">
      <c r="A1314" s="5" t="s">
        <v>88</v>
      </c>
      <c r="B1314" s="5" t="s">
        <v>83</v>
      </c>
      <c r="C1314" s="5" t="s">
        <v>317</v>
      </c>
      <c r="D1314" s="6" t="n">
        <v>0.1187463761071</v>
      </c>
      <c r="E1314" s="6" t="n">
        <v>0.0409856780752139</v>
      </c>
      <c r="F1314" s="7" t="n">
        <v>0.00376431476483737</v>
      </c>
    </row>
    <row r="1315" customFormat="false" ht="15" hidden="false" customHeight="true" outlineLevel="0" collapsed="false">
      <c r="A1315" s="5" t="s">
        <v>88</v>
      </c>
      <c r="B1315" s="5" t="s">
        <v>83</v>
      </c>
      <c r="C1315" s="5" t="s">
        <v>318</v>
      </c>
      <c r="D1315" s="6" t="n">
        <v>0.122443703180085</v>
      </c>
      <c r="E1315" s="6" t="n">
        <v>0.0411257580439268</v>
      </c>
      <c r="F1315" s="7" t="n">
        <v>0.00290799680719016</v>
      </c>
    </row>
    <row r="1316" customFormat="false" ht="15" hidden="false" customHeight="true" outlineLevel="0" collapsed="false">
      <c r="A1316" s="5" t="s">
        <v>88</v>
      </c>
      <c r="B1316" s="5" t="s">
        <v>83</v>
      </c>
      <c r="C1316" s="5" t="s">
        <v>319</v>
      </c>
      <c r="D1316" s="6" t="n">
        <v>0.124165809915599</v>
      </c>
      <c r="E1316" s="6" t="n">
        <v>0.0409588691643105</v>
      </c>
      <c r="F1316" s="7" t="n">
        <v>0.00243361639025652</v>
      </c>
    </row>
    <row r="1317" customFormat="false" ht="15" hidden="false" customHeight="true" outlineLevel="0" collapsed="false">
      <c r="A1317" s="5" t="s">
        <v>88</v>
      </c>
      <c r="B1317" s="5" t="s">
        <v>83</v>
      </c>
      <c r="C1317" s="5" t="s">
        <v>320</v>
      </c>
      <c r="D1317" s="6" t="n">
        <v>0.123339295166724</v>
      </c>
      <c r="E1317" s="6" t="n">
        <v>0.0411076289207778</v>
      </c>
      <c r="F1317" s="7" t="n">
        <v>0.0026962601727944</v>
      </c>
    </row>
    <row r="1318" customFormat="false" ht="15" hidden="false" customHeight="true" outlineLevel="0" collapsed="false">
      <c r="A1318" s="5" t="s">
        <v>88</v>
      </c>
      <c r="B1318" s="5" t="s">
        <v>83</v>
      </c>
      <c r="C1318" s="5" t="s">
        <v>321</v>
      </c>
      <c r="D1318" s="6" t="n">
        <v>0.122920185584263</v>
      </c>
      <c r="E1318" s="6" t="n">
        <v>0.0410920352825422</v>
      </c>
      <c r="F1318" s="7" t="n">
        <v>0.00277757449730975</v>
      </c>
    </row>
    <row r="1319" customFormat="false" ht="15" hidden="false" customHeight="true" outlineLevel="0" collapsed="false">
      <c r="A1319" s="5" t="s">
        <v>88</v>
      </c>
      <c r="B1319" s="5" t="s">
        <v>83</v>
      </c>
      <c r="C1319" s="5" t="s">
        <v>322</v>
      </c>
      <c r="D1319" s="6" t="n">
        <v>0.12068547891905</v>
      </c>
      <c r="E1319" s="6" t="n">
        <v>0.0411550382986877</v>
      </c>
      <c r="F1319" s="7" t="n">
        <v>0.0033628888897577</v>
      </c>
    </row>
    <row r="1320" customFormat="false" ht="15" hidden="false" customHeight="true" outlineLevel="0" collapsed="false">
      <c r="A1320" s="5" t="s">
        <v>88</v>
      </c>
      <c r="B1320" s="5" t="s">
        <v>83</v>
      </c>
      <c r="C1320" s="5" t="s">
        <v>323</v>
      </c>
      <c r="D1320" s="6" t="n">
        <v>0.12336202439745</v>
      </c>
      <c r="E1320" s="6" t="n">
        <v>0.041095917328931</v>
      </c>
      <c r="F1320" s="7" t="n">
        <v>0.0026838201136182</v>
      </c>
    </row>
    <row r="1321" customFormat="false" ht="15" hidden="false" customHeight="true" outlineLevel="0" collapsed="false">
      <c r="A1321" s="5" t="s">
        <v>88</v>
      </c>
      <c r="B1321" s="5" t="s">
        <v>83</v>
      </c>
      <c r="C1321" s="5" t="s">
        <v>324</v>
      </c>
      <c r="D1321" s="6" t="n">
        <v>0.119432840504154</v>
      </c>
      <c r="E1321" s="6" t="n">
        <v>0.0410509958533504</v>
      </c>
      <c r="F1321" s="7" t="n">
        <v>0.00362149369696244</v>
      </c>
    </row>
    <row r="1322" customFormat="false" ht="15" hidden="false" customHeight="true" outlineLevel="0" collapsed="false">
      <c r="A1322" s="5" t="s">
        <v>88</v>
      </c>
      <c r="B1322" s="5" t="s">
        <v>83</v>
      </c>
      <c r="C1322" s="5" t="s">
        <v>325</v>
      </c>
      <c r="D1322" s="6" t="n">
        <v>0.122713746081905</v>
      </c>
      <c r="E1322" s="6" t="n">
        <v>0.0411003658752018</v>
      </c>
      <c r="F1322" s="7" t="n">
        <v>0.00282921420907794</v>
      </c>
    </row>
    <row r="1323" customFormat="false" ht="15" hidden="false" customHeight="true" outlineLevel="0" collapsed="false">
      <c r="A1323" s="5" t="s">
        <v>88</v>
      </c>
      <c r="B1323" s="5" t="s">
        <v>83</v>
      </c>
      <c r="C1323" s="5" t="s">
        <v>326</v>
      </c>
      <c r="D1323" s="6" t="n">
        <v>0.119204400318809</v>
      </c>
      <c r="E1323" s="6" t="n">
        <v>0.041042530663123</v>
      </c>
      <c r="F1323" s="7" t="n">
        <v>0.00367944144552847</v>
      </c>
    </row>
    <row r="1324" customFormat="false" ht="15" hidden="false" customHeight="true" outlineLevel="0" collapsed="false">
      <c r="A1324" s="5" t="s">
        <v>88</v>
      </c>
      <c r="B1324" s="5" t="s">
        <v>83</v>
      </c>
      <c r="C1324" s="5" t="s">
        <v>327</v>
      </c>
      <c r="D1324" s="6" t="n">
        <v>0.119410083797282</v>
      </c>
      <c r="E1324" s="6" t="n">
        <v>0.0410551855550428</v>
      </c>
      <c r="F1324" s="7" t="n">
        <v>0.00363136719686364</v>
      </c>
    </row>
    <row r="1325" customFormat="false" ht="15" hidden="false" customHeight="true" outlineLevel="0" collapsed="false">
      <c r="A1325" s="5" t="s">
        <v>88</v>
      </c>
      <c r="B1325" s="5" t="s">
        <v>83</v>
      </c>
      <c r="C1325" s="5" t="s">
        <v>328</v>
      </c>
      <c r="D1325" s="6" t="n">
        <v>0.11896319763133</v>
      </c>
      <c r="E1325" s="6" t="n">
        <v>0.0410111404323237</v>
      </c>
      <c r="F1325" s="7" t="n">
        <v>0.00372266926490776</v>
      </c>
    </row>
    <row r="1326" customFormat="false" ht="15" hidden="false" customHeight="true" outlineLevel="0" collapsed="false">
      <c r="A1326" s="5" t="s">
        <v>88</v>
      </c>
      <c r="B1326" s="5" t="s">
        <v>83</v>
      </c>
      <c r="C1326" s="5" t="s">
        <v>329</v>
      </c>
      <c r="D1326" s="6" t="n">
        <v>0.121670262170048</v>
      </c>
      <c r="E1326" s="6" t="n">
        <v>0.0411372869480032</v>
      </c>
      <c r="F1326" s="7" t="n">
        <v>0.00309980062579518</v>
      </c>
    </row>
    <row r="1327" customFormat="false" ht="15" hidden="false" customHeight="true" outlineLevel="0" collapsed="false">
      <c r="A1327" s="5" t="s">
        <v>88</v>
      </c>
      <c r="B1327" s="5" t="s">
        <v>83</v>
      </c>
      <c r="C1327" s="5" t="s">
        <v>330</v>
      </c>
      <c r="D1327" s="6" t="n">
        <v>0.12298096527299</v>
      </c>
      <c r="E1327" s="6" t="n">
        <v>0.0411353699901519</v>
      </c>
      <c r="F1327" s="7" t="n">
        <v>0.00279283798569571</v>
      </c>
    </row>
    <row r="1328" customFormat="false" ht="15" hidden="false" customHeight="true" outlineLevel="0" collapsed="false">
      <c r="A1328" s="5" t="s">
        <v>88</v>
      </c>
      <c r="B1328" s="5" t="s">
        <v>83</v>
      </c>
      <c r="C1328" s="5" t="s">
        <v>331</v>
      </c>
      <c r="D1328" s="6" t="n">
        <v>0.12330782215273</v>
      </c>
      <c r="E1328" s="6" t="n">
        <v>0.0410717828576794</v>
      </c>
      <c r="F1328" s="7" t="n">
        <v>0.00267990661488776</v>
      </c>
    </row>
    <row r="1329" customFormat="false" ht="15" hidden="false" customHeight="true" outlineLevel="0" collapsed="false">
      <c r="A1329" s="5" t="s">
        <v>88</v>
      </c>
      <c r="B1329" s="5" t="s">
        <v>83</v>
      </c>
      <c r="C1329" s="5" t="s">
        <v>332</v>
      </c>
      <c r="D1329" s="6" t="n">
        <v>0.125356859993697</v>
      </c>
      <c r="E1329" s="6" t="n">
        <v>0.0410591929908335</v>
      </c>
      <c r="F1329" s="7" t="n">
        <v>0.00226508136062546</v>
      </c>
    </row>
    <row r="1330" customFormat="false" ht="15" hidden="false" customHeight="true" outlineLevel="0" collapsed="false">
      <c r="A1330" s="5" t="s">
        <v>88</v>
      </c>
      <c r="B1330" s="5" t="s">
        <v>83</v>
      </c>
      <c r="C1330" s="5" t="s">
        <v>333</v>
      </c>
      <c r="D1330" s="6" t="n">
        <v>0.120601695632398</v>
      </c>
      <c r="E1330" s="6" t="n">
        <v>0.0410775442023789</v>
      </c>
      <c r="F1330" s="7" t="n">
        <v>0.00332525835304315</v>
      </c>
    </row>
    <row r="1331" customFormat="false" ht="15" hidden="false" customHeight="true" outlineLevel="0" collapsed="false">
      <c r="A1331" s="5" t="s">
        <v>88</v>
      </c>
      <c r="B1331" s="5" t="s">
        <v>83</v>
      </c>
      <c r="C1331" s="5" t="s">
        <v>334</v>
      </c>
      <c r="D1331" s="6" t="n">
        <v>0.122873029319097</v>
      </c>
      <c r="E1331" s="6" t="n">
        <v>0.0411118664834733</v>
      </c>
      <c r="F1331" s="7" t="n">
        <v>0.00280122604744567</v>
      </c>
    </row>
    <row r="1332" customFormat="false" ht="15" hidden="false" customHeight="true" outlineLevel="0" collapsed="false">
      <c r="A1332" s="5" t="s">
        <v>88</v>
      </c>
      <c r="B1332" s="5" t="s">
        <v>83</v>
      </c>
      <c r="C1332" s="5" t="s">
        <v>335</v>
      </c>
      <c r="D1332" s="6" t="n">
        <v>0.122808870676198</v>
      </c>
      <c r="E1332" s="6" t="n">
        <v>0.041110098767145</v>
      </c>
      <c r="F1332" s="7" t="n">
        <v>0.00281438319247566</v>
      </c>
    </row>
    <row r="1333" customFormat="false" ht="15" hidden="false" customHeight="true" outlineLevel="0" collapsed="false">
      <c r="A1333" s="5" t="s">
        <v>88</v>
      </c>
      <c r="B1333" s="5" t="s">
        <v>83</v>
      </c>
      <c r="C1333" s="5" t="s">
        <v>336</v>
      </c>
      <c r="D1333" s="6" t="n">
        <v>0.121204486302906</v>
      </c>
      <c r="E1333" s="6" t="n">
        <v>0.0411266413102254</v>
      </c>
      <c r="F1333" s="7" t="n">
        <v>0.003207653735317</v>
      </c>
    </row>
    <row r="1334" customFormat="false" ht="15" hidden="false" customHeight="true" outlineLevel="0" collapsed="false">
      <c r="A1334" s="5" t="s">
        <v>88</v>
      </c>
      <c r="B1334" s="5" t="s">
        <v>83</v>
      </c>
      <c r="C1334" s="5" t="s">
        <v>337</v>
      </c>
      <c r="D1334" s="6" t="n">
        <v>0.11948759936945</v>
      </c>
      <c r="E1334" s="6" t="n">
        <v>0.0410848615759272</v>
      </c>
      <c r="F1334" s="7" t="n">
        <v>0.00363385496938874</v>
      </c>
    </row>
    <row r="1335" customFormat="false" ht="15" hidden="false" customHeight="true" outlineLevel="0" collapsed="false">
      <c r="A1335" s="5" t="s">
        <v>88</v>
      </c>
      <c r="B1335" s="5" t="s">
        <v>83</v>
      </c>
      <c r="C1335" s="5" t="s">
        <v>338</v>
      </c>
      <c r="D1335" s="6" t="n">
        <v>0.121139227265655</v>
      </c>
      <c r="E1335" s="6" t="n">
        <v>0.0411247094450471</v>
      </c>
      <c r="F1335" s="7" t="n">
        <v>0.00322271095275217</v>
      </c>
    </row>
    <row r="1336" customFormat="false" ht="15" hidden="false" customHeight="true" outlineLevel="0" collapsed="false">
      <c r="A1336" s="5" t="s">
        <v>88</v>
      </c>
      <c r="B1336" s="5" t="s">
        <v>83</v>
      </c>
      <c r="C1336" s="5" t="s">
        <v>339</v>
      </c>
      <c r="D1336" s="6" t="n">
        <v>0.122440247146105</v>
      </c>
      <c r="E1336" s="6" t="n">
        <v>0.0411251453696906</v>
      </c>
      <c r="F1336" s="7" t="n">
        <v>0.00290837324724666</v>
      </c>
    </row>
    <row r="1337" customFormat="false" ht="15" hidden="false" customHeight="true" outlineLevel="0" collapsed="false">
      <c r="A1337" s="5" t="s">
        <v>88</v>
      </c>
      <c r="B1337" s="5" t="s">
        <v>83</v>
      </c>
      <c r="C1337" s="5" t="s">
        <v>340</v>
      </c>
      <c r="D1337" s="6" t="n">
        <v>0.121740858420816</v>
      </c>
      <c r="E1337" s="6" t="n">
        <v>0.0411329279787371</v>
      </c>
      <c r="F1337" s="7" t="n">
        <v>0.00307945273980299</v>
      </c>
    </row>
    <row r="1338" customFormat="false" ht="15" hidden="false" customHeight="true" outlineLevel="0" collapsed="false">
      <c r="A1338" s="5" t="s">
        <v>88</v>
      </c>
      <c r="B1338" s="5" t="s">
        <v>83</v>
      </c>
      <c r="C1338" s="5" t="s">
        <v>341</v>
      </c>
      <c r="D1338" s="6" t="n">
        <v>0.12002808666011</v>
      </c>
      <c r="E1338" s="6" t="n">
        <v>0.0411341471864269</v>
      </c>
      <c r="F1338" s="7" t="n">
        <v>0.00352321562899843</v>
      </c>
    </row>
    <row r="1339" customFormat="false" ht="15" hidden="false" customHeight="true" outlineLevel="0" collapsed="false">
      <c r="A1339" s="5" t="s">
        <v>88</v>
      </c>
      <c r="B1339" s="5" t="s">
        <v>83</v>
      </c>
      <c r="C1339" s="5" t="s">
        <v>342</v>
      </c>
      <c r="D1339" s="6" t="n">
        <v>0.121989731257168</v>
      </c>
      <c r="E1339" s="6" t="n">
        <v>0.0411306994960064</v>
      </c>
      <c r="F1339" s="7" t="n">
        <v>0.00301794078596185</v>
      </c>
    </row>
    <row r="1340" customFormat="false" ht="15" hidden="false" customHeight="true" outlineLevel="0" collapsed="false">
      <c r="A1340" s="5" t="s">
        <v>88</v>
      </c>
      <c r="B1340" s="5" t="s">
        <v>83</v>
      </c>
      <c r="C1340" s="5" t="s">
        <v>343</v>
      </c>
      <c r="D1340" s="6" t="n">
        <v>0.118844814689425</v>
      </c>
      <c r="E1340" s="6" t="n">
        <v>0.0410747612719136</v>
      </c>
      <c r="F1340" s="7" t="n">
        <v>0.00381122199107327</v>
      </c>
    </row>
    <row r="1341" customFormat="false" ht="15" hidden="false" customHeight="true" outlineLevel="0" collapsed="false">
      <c r="A1341" s="5" t="s">
        <v>88</v>
      </c>
      <c r="B1341" s="5" t="s">
        <v>83</v>
      </c>
      <c r="C1341" s="5" t="s">
        <v>344</v>
      </c>
      <c r="D1341" s="6" t="n">
        <v>0.121097905825469</v>
      </c>
      <c r="E1341" s="6" t="n">
        <v>0.0411478823027328</v>
      </c>
      <c r="F1341" s="7" t="n">
        <v>0.00325056374272629</v>
      </c>
    </row>
    <row r="1342" customFormat="false" ht="15" hidden="false" customHeight="true" outlineLevel="0" collapsed="false">
      <c r="A1342" s="5" t="s">
        <v>88</v>
      </c>
      <c r="B1342" s="5" t="s">
        <v>83</v>
      </c>
      <c r="C1342" s="5" t="s">
        <v>345</v>
      </c>
      <c r="D1342" s="6" t="n">
        <v>0.122563497053324</v>
      </c>
      <c r="E1342" s="6" t="n">
        <v>0.0411222543296094</v>
      </c>
      <c r="F1342" s="7" t="n">
        <v>0.00287809816028591</v>
      </c>
    </row>
    <row r="1343" customFormat="false" ht="15" hidden="false" customHeight="true" outlineLevel="0" collapsed="false">
      <c r="A1343" s="5" t="s">
        <v>88</v>
      </c>
      <c r="B1343" s="5" t="s">
        <v>83</v>
      </c>
      <c r="C1343" s="5" t="s">
        <v>346</v>
      </c>
      <c r="D1343" s="6" t="n">
        <v>0.123589474176816</v>
      </c>
      <c r="E1343" s="6" t="n">
        <v>0.0410413157110534</v>
      </c>
      <c r="F1343" s="7" t="n">
        <v>0.00260094962549665</v>
      </c>
    </row>
    <row r="1344" customFormat="false" ht="15" hidden="false" customHeight="true" outlineLevel="0" collapsed="false">
      <c r="A1344" s="5" t="s">
        <v>88</v>
      </c>
      <c r="B1344" s="5" t="s">
        <v>83</v>
      </c>
      <c r="C1344" s="5" t="s">
        <v>775</v>
      </c>
      <c r="D1344" s="6" t="n">
        <v>0.123342683425287</v>
      </c>
      <c r="E1344" s="6" t="n">
        <v>0.0410460988137652</v>
      </c>
      <c r="F1344" s="7" t="n">
        <v>0.00265598793777093</v>
      </c>
    </row>
    <row r="1345" customFormat="false" ht="15" hidden="false" customHeight="true" outlineLevel="0" collapsed="false">
      <c r="A1345" s="5" t="s">
        <v>88</v>
      </c>
      <c r="B1345" s="5" t="s">
        <v>83</v>
      </c>
      <c r="C1345" s="5" t="s">
        <v>347</v>
      </c>
      <c r="D1345" s="6" t="n">
        <v>0.118826594340869</v>
      </c>
      <c r="E1345" s="6" t="n">
        <v>0.0412669446028754</v>
      </c>
      <c r="F1345" s="7" t="n">
        <v>0.00398354438439956</v>
      </c>
    </row>
    <row r="1346" customFormat="false" ht="15" hidden="false" customHeight="true" outlineLevel="0" collapsed="false">
      <c r="A1346" s="5" t="s">
        <v>88</v>
      </c>
      <c r="B1346" s="5" t="s">
        <v>83</v>
      </c>
      <c r="C1346" s="5" t="s">
        <v>348</v>
      </c>
      <c r="D1346" s="6" t="n">
        <v>0.123614025293458</v>
      </c>
      <c r="E1346" s="6" t="n">
        <v>0.0410642799323612</v>
      </c>
      <c r="F1346" s="7" t="n">
        <v>0.00261026948218671</v>
      </c>
    </row>
    <row r="1347" customFormat="false" ht="15" hidden="false" customHeight="true" outlineLevel="0" collapsed="false">
      <c r="A1347" s="5" t="s">
        <v>88</v>
      </c>
      <c r="B1347" s="5" t="s">
        <v>83</v>
      </c>
      <c r="C1347" s="5" t="s">
        <v>349</v>
      </c>
      <c r="D1347" s="6" t="n">
        <v>0.120567788194984</v>
      </c>
      <c r="E1347" s="6" t="n">
        <v>0.041104590666407</v>
      </c>
      <c r="F1347" s="7" t="n">
        <v>0.00335492884849991</v>
      </c>
    </row>
    <row r="1348" customFormat="false" ht="15" hidden="false" customHeight="true" outlineLevel="0" collapsed="false">
      <c r="A1348" s="5" t="s">
        <v>88</v>
      </c>
      <c r="B1348" s="5" t="s">
        <v>83</v>
      </c>
      <c r="C1348" s="5" t="s">
        <v>350</v>
      </c>
      <c r="D1348" s="6" t="n">
        <v>0.119580124927635</v>
      </c>
      <c r="E1348" s="6" t="n">
        <v>0.0410721630756509</v>
      </c>
      <c r="F1348" s="7" t="n">
        <v>0.00359739338897393</v>
      </c>
    </row>
    <row r="1349" customFormat="false" ht="15" hidden="false" customHeight="true" outlineLevel="0" collapsed="false">
      <c r="A1349" s="5" t="s">
        <v>88</v>
      </c>
      <c r="B1349" s="5" t="s">
        <v>83</v>
      </c>
      <c r="C1349" s="5" t="s">
        <v>351</v>
      </c>
      <c r="D1349" s="6" t="n">
        <v>0.119315610354996</v>
      </c>
      <c r="E1349" s="6" t="n">
        <v>0.041085540827071</v>
      </c>
      <c r="F1349" s="7" t="n">
        <v>0.00368336522275082</v>
      </c>
    </row>
    <row r="1350" customFormat="false" ht="15" hidden="false" customHeight="true" outlineLevel="0" collapsed="false">
      <c r="A1350" s="5" t="s">
        <v>88</v>
      </c>
      <c r="B1350" s="5" t="s">
        <v>83</v>
      </c>
      <c r="C1350" s="5" t="s">
        <v>352</v>
      </c>
      <c r="D1350" s="6" t="n">
        <v>0.122276086316834</v>
      </c>
      <c r="E1350" s="6" t="n">
        <v>0.0411239438654439</v>
      </c>
      <c r="F1350" s="7" t="n">
        <v>0.0029456349470168</v>
      </c>
    </row>
    <row r="1351" customFormat="false" ht="15" hidden="false" customHeight="true" outlineLevel="0" collapsed="false">
      <c r="A1351" s="5" t="s">
        <v>88</v>
      </c>
      <c r="B1351" s="5" t="s">
        <v>83</v>
      </c>
      <c r="C1351" s="5" t="s">
        <v>353</v>
      </c>
      <c r="D1351" s="6" t="n">
        <v>0.121429118081305</v>
      </c>
      <c r="E1351" s="6" t="n">
        <v>0.0411457202202133</v>
      </c>
      <c r="F1351" s="7" t="n">
        <v>0.00316545151816277</v>
      </c>
    </row>
    <row r="1352" customFormat="false" ht="15" hidden="false" customHeight="true" outlineLevel="0" collapsed="false">
      <c r="A1352" s="5" t="s">
        <v>88</v>
      </c>
      <c r="B1352" s="5" t="s">
        <v>83</v>
      </c>
      <c r="C1352" s="5" t="s">
        <v>354</v>
      </c>
      <c r="D1352" s="6" t="n">
        <v>0.122385128254505</v>
      </c>
      <c r="E1352" s="6" t="n">
        <v>0.0411255558053465</v>
      </c>
      <c r="F1352" s="7" t="n">
        <v>0.00292139675168046</v>
      </c>
    </row>
    <row r="1353" customFormat="false" ht="15" hidden="false" customHeight="true" outlineLevel="0" collapsed="false">
      <c r="A1353" s="5" t="s">
        <v>88</v>
      </c>
      <c r="B1353" s="5" t="s">
        <v>83</v>
      </c>
      <c r="C1353" s="5" t="s">
        <v>355</v>
      </c>
      <c r="D1353" s="6" t="n">
        <v>0.122479276891655</v>
      </c>
      <c r="E1353" s="6" t="n">
        <v>0.0411651874450933</v>
      </c>
      <c r="F1353" s="7" t="n">
        <v>0.00292690676928688</v>
      </c>
    </row>
    <row r="1354" customFormat="false" ht="15" hidden="false" customHeight="true" outlineLevel="0" collapsed="false">
      <c r="A1354" s="5" t="s">
        <v>88</v>
      </c>
      <c r="B1354" s="5" t="s">
        <v>83</v>
      </c>
      <c r="C1354" s="5" t="s">
        <v>356</v>
      </c>
      <c r="D1354" s="6" t="n">
        <v>0.121660065853683</v>
      </c>
      <c r="E1354" s="6" t="n">
        <v>0.0411588228266733</v>
      </c>
      <c r="F1354" s="7" t="n">
        <v>0.00311790042970737</v>
      </c>
    </row>
    <row r="1355" customFormat="false" ht="15" hidden="false" customHeight="true" outlineLevel="0" collapsed="false">
      <c r="A1355" s="5" t="s">
        <v>88</v>
      </c>
      <c r="B1355" s="5" t="s">
        <v>83</v>
      </c>
      <c r="C1355" s="5" t="s">
        <v>357</v>
      </c>
      <c r="D1355" s="6" t="n">
        <v>0.12079966953497</v>
      </c>
      <c r="E1355" s="6" t="n">
        <v>0.0411207888887283</v>
      </c>
      <c r="F1355" s="7" t="n">
        <v>0.00330679433924553</v>
      </c>
    </row>
    <row r="1356" customFormat="false" ht="15" hidden="false" customHeight="true" outlineLevel="0" collapsed="false">
      <c r="A1356" s="5" t="s">
        <v>88</v>
      </c>
      <c r="B1356" s="5" t="s">
        <v>83</v>
      </c>
      <c r="C1356" s="5" t="s">
        <v>358</v>
      </c>
      <c r="D1356" s="6" t="n">
        <v>0.119990836846914</v>
      </c>
      <c r="E1356" s="6" t="n">
        <v>0.0410741782637732</v>
      </c>
      <c r="F1356" s="7" t="n">
        <v>0.00348551118872431</v>
      </c>
    </row>
    <row r="1357" customFormat="false" ht="15" hidden="false" customHeight="true" outlineLevel="0" collapsed="false">
      <c r="A1357" s="5" t="s">
        <v>88</v>
      </c>
      <c r="B1357" s="5" t="s">
        <v>83</v>
      </c>
      <c r="C1357" s="5" t="s">
        <v>359</v>
      </c>
      <c r="D1357" s="6" t="n">
        <v>0.122516788494314</v>
      </c>
      <c r="E1357" s="6" t="n">
        <v>0.0411345802171962</v>
      </c>
      <c r="F1357" s="7" t="n">
        <v>0.00289721829407248</v>
      </c>
    </row>
    <row r="1358" customFormat="false" ht="15" hidden="false" customHeight="true" outlineLevel="0" collapsed="false">
      <c r="A1358" s="5" t="s">
        <v>88</v>
      </c>
      <c r="B1358" s="5" t="s">
        <v>83</v>
      </c>
      <c r="C1358" s="5" t="s">
        <v>360</v>
      </c>
      <c r="D1358" s="6" t="n">
        <v>0.122866540118752</v>
      </c>
      <c r="E1358" s="6" t="n">
        <v>0.0411310566593852</v>
      </c>
      <c r="F1358" s="7" t="n">
        <v>0.00281548879898384</v>
      </c>
    </row>
    <row r="1359" customFormat="false" ht="15" hidden="false" customHeight="true" outlineLevel="0" collapsed="false">
      <c r="A1359" s="5" t="s">
        <v>88</v>
      </c>
      <c r="B1359" s="5" t="s">
        <v>83</v>
      </c>
      <c r="C1359" s="5" t="s">
        <v>361</v>
      </c>
      <c r="D1359" s="6" t="n">
        <v>0.124478017706619</v>
      </c>
      <c r="E1359" s="6" t="n">
        <v>0.0411400328094049</v>
      </c>
      <c r="F1359" s="7" t="n">
        <v>0.00248045918339028</v>
      </c>
    </row>
    <row r="1360" customFormat="false" ht="15" hidden="false" customHeight="true" outlineLevel="0" collapsed="false">
      <c r="A1360" s="5" t="s">
        <v>88</v>
      </c>
      <c r="B1360" s="5" t="s">
        <v>83</v>
      </c>
      <c r="C1360" s="5" t="s">
        <v>362</v>
      </c>
      <c r="D1360" s="6" t="n">
        <v>0.122321540462915</v>
      </c>
      <c r="E1360" s="6" t="n">
        <v>0.041147149909459</v>
      </c>
      <c r="F1360" s="7" t="n">
        <v>0.00295113183175441</v>
      </c>
    </row>
    <row r="1361" customFormat="false" ht="15" hidden="false" customHeight="true" outlineLevel="0" collapsed="false">
      <c r="A1361" s="5" t="s">
        <v>88</v>
      </c>
      <c r="B1361" s="5" t="s">
        <v>83</v>
      </c>
      <c r="C1361" s="5" t="s">
        <v>776</v>
      </c>
      <c r="D1361" s="6" t="n">
        <v>0.121896792917904</v>
      </c>
      <c r="E1361" s="6" t="n">
        <v>0.0411357382372461</v>
      </c>
      <c r="F1361" s="7" t="n">
        <v>0.00304377571098966</v>
      </c>
    </row>
    <row r="1362" customFormat="false" ht="15" hidden="false" customHeight="true" outlineLevel="0" collapsed="false">
      <c r="A1362" s="5" t="s">
        <v>88</v>
      </c>
      <c r="B1362" s="5" t="s">
        <v>83</v>
      </c>
      <c r="C1362" s="5" t="s">
        <v>363</v>
      </c>
      <c r="D1362" s="6" t="n">
        <v>0.119376831067708</v>
      </c>
      <c r="E1362" s="6" t="n">
        <v>0.0411175676710034</v>
      </c>
      <c r="F1362" s="7" t="n">
        <v>0.0036924708948566</v>
      </c>
    </row>
    <row r="1363" customFormat="false" ht="15" hidden="false" customHeight="true" outlineLevel="0" collapsed="false">
      <c r="A1363" s="5" t="s">
        <v>88</v>
      </c>
      <c r="B1363" s="5" t="s">
        <v>83</v>
      </c>
      <c r="C1363" s="5" t="s">
        <v>364</v>
      </c>
      <c r="D1363" s="6" t="n">
        <v>0.120827265707408</v>
      </c>
      <c r="E1363" s="6" t="n">
        <v>0.0411307891954907</v>
      </c>
      <c r="F1363" s="7" t="n">
        <v>0.00330725631507543</v>
      </c>
    </row>
    <row r="1364" customFormat="false" ht="15" hidden="false" customHeight="true" outlineLevel="0" collapsed="false">
      <c r="A1364" s="5" t="s">
        <v>88</v>
      </c>
      <c r="B1364" s="5" t="s">
        <v>83</v>
      </c>
      <c r="C1364" s="5" t="s">
        <v>365</v>
      </c>
      <c r="D1364" s="6" t="n">
        <v>0.121591745949476</v>
      </c>
      <c r="E1364" s="6" t="n">
        <v>0.0411361476772444</v>
      </c>
      <c r="F1364" s="7" t="n">
        <v>0.00311821870678435</v>
      </c>
    </row>
    <row r="1365" customFormat="false" ht="15" hidden="false" customHeight="true" outlineLevel="0" collapsed="false">
      <c r="A1365" s="5" t="s">
        <v>88</v>
      </c>
      <c r="B1365" s="5" t="s">
        <v>83</v>
      </c>
      <c r="C1365" s="5" t="s">
        <v>366</v>
      </c>
      <c r="D1365" s="6" t="n">
        <v>0.121432257668441</v>
      </c>
      <c r="E1365" s="6" t="n">
        <v>0.0411441005935659</v>
      </c>
      <c r="F1365" s="7" t="n">
        <v>0.00316347934402906</v>
      </c>
    </row>
    <row r="1366" customFormat="false" ht="15" hidden="false" customHeight="true" outlineLevel="0" collapsed="false">
      <c r="A1366" s="5" t="s">
        <v>88</v>
      </c>
      <c r="B1366" s="5" t="s">
        <v>83</v>
      </c>
      <c r="C1366" s="5" t="s">
        <v>367</v>
      </c>
      <c r="D1366" s="6" t="n">
        <v>0.119309540407306</v>
      </c>
      <c r="E1366" s="6" t="n">
        <v>0.0410841012331647</v>
      </c>
      <c r="F1366" s="7" t="n">
        <v>0.00368390627350758</v>
      </c>
    </row>
    <row r="1367" customFormat="false" ht="15" hidden="false" customHeight="true" outlineLevel="0" collapsed="false">
      <c r="A1367" s="5" t="s">
        <v>88</v>
      </c>
      <c r="B1367" s="5" t="s">
        <v>83</v>
      </c>
      <c r="C1367" s="5" t="s">
        <v>368</v>
      </c>
      <c r="D1367" s="6" t="n">
        <v>0.120056819194292</v>
      </c>
      <c r="E1367" s="6" t="n">
        <v>0.0410756081702141</v>
      </c>
      <c r="F1367" s="7" t="n">
        <v>0.00346871281790242</v>
      </c>
    </row>
    <row r="1368" customFormat="false" ht="15" hidden="false" customHeight="true" outlineLevel="0" collapsed="false">
      <c r="A1368" s="5" t="s">
        <v>88</v>
      </c>
      <c r="B1368" s="5" t="s">
        <v>83</v>
      </c>
      <c r="C1368" s="5" t="s">
        <v>369</v>
      </c>
      <c r="D1368" s="6" t="n">
        <v>0.121832759860418</v>
      </c>
      <c r="E1368" s="6" t="n">
        <v>0.0412258540605244</v>
      </c>
      <c r="F1368" s="7" t="n">
        <v>0.00312414438060857</v>
      </c>
    </row>
    <row r="1369" customFormat="false" ht="15" hidden="false" customHeight="true" outlineLevel="0" collapsed="false">
      <c r="A1369" s="5" t="s">
        <v>88</v>
      </c>
      <c r="B1369" s="5" t="s">
        <v>83</v>
      </c>
      <c r="C1369" s="5" t="s">
        <v>370</v>
      </c>
      <c r="D1369" s="6" t="n">
        <v>0.120904394689857</v>
      </c>
      <c r="E1369" s="6" t="n">
        <v>0.0411311334622513</v>
      </c>
      <c r="F1369" s="7" t="n">
        <v>0.00328757026771825</v>
      </c>
    </row>
    <row r="1370" customFormat="false" ht="15" hidden="false" customHeight="true" outlineLevel="0" collapsed="false">
      <c r="A1370" s="5" t="s">
        <v>88</v>
      </c>
      <c r="B1370" s="5" t="s">
        <v>83</v>
      </c>
      <c r="C1370" s="5" t="s">
        <v>371</v>
      </c>
      <c r="D1370" s="6" t="n">
        <v>0.121649656351407</v>
      </c>
      <c r="E1370" s="6" t="n">
        <v>0.0411410156727892</v>
      </c>
      <c r="F1370" s="7" t="n">
        <v>0.00310754095986434</v>
      </c>
    </row>
    <row r="1371" customFormat="false" ht="15" hidden="false" customHeight="true" outlineLevel="0" collapsed="false">
      <c r="A1371" s="5" t="s">
        <v>88</v>
      </c>
      <c r="B1371" s="5" t="s">
        <v>83</v>
      </c>
      <c r="C1371" s="5" t="s">
        <v>372</v>
      </c>
      <c r="D1371" s="6" t="n">
        <v>0.123326489281987</v>
      </c>
      <c r="E1371" s="6" t="n">
        <v>0.0410751006209407</v>
      </c>
      <c r="F1371" s="7" t="n">
        <v>0.00267804109186452</v>
      </c>
    </row>
    <row r="1372" customFormat="false" ht="15" hidden="false" customHeight="true" outlineLevel="0" collapsed="false">
      <c r="A1372" s="5" t="s">
        <v>88</v>
      </c>
      <c r="B1372" s="5" t="s">
        <v>83</v>
      </c>
      <c r="C1372" s="5" t="s">
        <v>373</v>
      </c>
      <c r="D1372" s="6" t="n">
        <v>0.12108929035965</v>
      </c>
      <c r="E1372" s="6" t="n">
        <v>0.0411282462463676</v>
      </c>
      <c r="F1372" s="7" t="n">
        <v>0.00323803208191779</v>
      </c>
    </row>
    <row r="1373" customFormat="false" ht="15" hidden="false" customHeight="true" outlineLevel="0" collapsed="false">
      <c r="A1373" s="5" t="s">
        <v>88</v>
      </c>
      <c r="B1373" s="5" t="s">
        <v>83</v>
      </c>
      <c r="C1373" s="5" t="s">
        <v>374</v>
      </c>
      <c r="D1373" s="6" t="n">
        <v>0.123305091728534</v>
      </c>
      <c r="E1373" s="6" t="n">
        <v>0.0410814044138347</v>
      </c>
      <c r="F1373" s="7" t="n">
        <v>0.0026866901198109</v>
      </c>
    </row>
    <row r="1374" customFormat="false" ht="15" hidden="false" customHeight="true" outlineLevel="0" collapsed="false">
      <c r="A1374" s="5" t="s">
        <v>88</v>
      </c>
      <c r="B1374" s="5" t="s">
        <v>83</v>
      </c>
      <c r="C1374" s="5" t="s">
        <v>375</v>
      </c>
      <c r="D1374" s="6" t="n">
        <v>0.12199716688955</v>
      </c>
      <c r="E1374" s="6" t="n">
        <v>0.0411338223924555</v>
      </c>
      <c r="F1374" s="7" t="n">
        <v>0.00301837655176819</v>
      </c>
    </row>
    <row r="1375" customFormat="false" ht="15" hidden="false" customHeight="true" outlineLevel="0" collapsed="false">
      <c r="A1375" s="5" t="s">
        <v>88</v>
      </c>
      <c r="B1375" s="5" t="s">
        <v>83</v>
      </c>
      <c r="C1375" s="5" t="s">
        <v>376</v>
      </c>
      <c r="D1375" s="6" t="n">
        <v>0.120030358903626</v>
      </c>
      <c r="E1375" s="6" t="n">
        <v>0.0411673072112382</v>
      </c>
      <c r="F1375" s="7" t="n">
        <v>0.0035492358003196</v>
      </c>
    </row>
    <row r="1376" customFormat="false" ht="15" hidden="false" customHeight="true" outlineLevel="0" collapsed="false">
      <c r="A1376" s="5" t="s">
        <v>88</v>
      </c>
      <c r="B1376" s="5" t="s">
        <v>83</v>
      </c>
      <c r="C1376" s="5" t="s">
        <v>377</v>
      </c>
      <c r="D1376" s="6" t="n">
        <v>0.123173824541616</v>
      </c>
      <c r="E1376" s="6" t="n">
        <v>0.0410448743838224</v>
      </c>
      <c r="F1376" s="7" t="n">
        <v>0.00269134258714711</v>
      </c>
    </row>
    <row r="1377" customFormat="false" ht="15" hidden="false" customHeight="true" outlineLevel="0" collapsed="false">
      <c r="A1377" s="5" t="s">
        <v>88</v>
      </c>
      <c r="B1377" s="5" t="s">
        <v>83</v>
      </c>
      <c r="C1377" s="5" t="s">
        <v>378</v>
      </c>
      <c r="D1377" s="6" t="n">
        <v>0.120280266661841</v>
      </c>
      <c r="E1377" s="6" t="n">
        <v>0.041077029392054</v>
      </c>
      <c r="F1377" s="7" t="n">
        <v>0.00340970464237801</v>
      </c>
    </row>
    <row r="1378" customFormat="false" ht="15" hidden="false" customHeight="true" outlineLevel="0" collapsed="false">
      <c r="A1378" s="5" t="s">
        <v>88</v>
      </c>
      <c r="B1378" s="5" t="s">
        <v>83</v>
      </c>
      <c r="C1378" s="5" t="s">
        <v>379</v>
      </c>
      <c r="D1378" s="6" t="n">
        <v>0.121657372394597</v>
      </c>
      <c r="E1378" s="6" t="n">
        <v>0.0411446638095368</v>
      </c>
      <c r="F1378" s="7" t="n">
        <v>0.00310829328004646</v>
      </c>
    </row>
    <row r="1379" customFormat="false" ht="15" hidden="false" customHeight="true" outlineLevel="0" collapsed="false">
      <c r="A1379" s="5" t="s">
        <v>88</v>
      </c>
      <c r="B1379" s="5" t="s">
        <v>83</v>
      </c>
      <c r="C1379" s="5" t="s">
        <v>380</v>
      </c>
      <c r="D1379" s="6" t="n">
        <v>0.121825238229663</v>
      </c>
      <c r="E1379" s="6" t="n">
        <v>0.0411390424088474</v>
      </c>
      <c r="F1379" s="7" t="n">
        <v>0.0030633874217343</v>
      </c>
    </row>
    <row r="1380" customFormat="false" ht="15" hidden="false" customHeight="true" outlineLevel="0" collapsed="false">
      <c r="A1380" s="5" t="s">
        <v>88</v>
      </c>
      <c r="B1380" s="5" t="s">
        <v>83</v>
      </c>
      <c r="C1380" s="5" t="s">
        <v>382</v>
      </c>
      <c r="D1380" s="6" t="n">
        <v>0.122724973661098</v>
      </c>
      <c r="E1380" s="6" t="n">
        <v>0.0411262512199472</v>
      </c>
      <c r="F1380" s="7" t="n">
        <v>0.00284410922782041</v>
      </c>
    </row>
    <row r="1381" customFormat="false" ht="15" hidden="false" customHeight="true" outlineLevel="0" collapsed="false">
      <c r="A1381" s="5" t="s">
        <v>88</v>
      </c>
      <c r="B1381" s="5" t="s">
        <v>83</v>
      </c>
      <c r="C1381" s="5" t="s">
        <v>383</v>
      </c>
      <c r="D1381" s="6" t="n">
        <v>0.120885796062246</v>
      </c>
      <c r="E1381" s="6" t="n">
        <v>0.0411475540285082</v>
      </c>
      <c r="F1381" s="7" t="n">
        <v>0.00330485112730448</v>
      </c>
    </row>
    <row r="1382" customFormat="false" ht="15" hidden="false" customHeight="true" outlineLevel="0" collapsed="false">
      <c r="A1382" s="5" t="s">
        <v>88</v>
      </c>
      <c r="B1382" s="5" t="s">
        <v>83</v>
      </c>
      <c r="C1382" s="5" t="s">
        <v>384</v>
      </c>
      <c r="D1382" s="6" t="n">
        <v>0.122191696018527</v>
      </c>
      <c r="E1382" s="6" t="n">
        <v>0.0412066777165996</v>
      </c>
      <c r="F1382" s="7" t="n">
        <v>0.00302351284682609</v>
      </c>
    </row>
    <row r="1383" customFormat="false" ht="15" hidden="false" customHeight="true" outlineLevel="0" collapsed="false">
      <c r="A1383" s="5" t="s">
        <v>88</v>
      </c>
      <c r="B1383" s="5" t="s">
        <v>83</v>
      </c>
      <c r="C1383" s="5" t="s">
        <v>385</v>
      </c>
      <c r="D1383" s="6" t="n">
        <v>0.121353433951203</v>
      </c>
      <c r="E1383" s="6" t="n">
        <v>0.0411283623277643</v>
      </c>
      <c r="F1383" s="7" t="n">
        <v>0.00317155159971752</v>
      </c>
    </row>
    <row r="1384" customFormat="false" ht="15" hidden="false" customHeight="true" outlineLevel="0" collapsed="false">
      <c r="A1384" s="5" t="s">
        <v>88</v>
      </c>
      <c r="B1384" s="5" t="s">
        <v>83</v>
      </c>
      <c r="C1384" s="5" t="s">
        <v>386</v>
      </c>
      <c r="D1384" s="6" t="n">
        <v>0.123004250009258</v>
      </c>
      <c r="E1384" s="6" t="n">
        <v>0.0411455111045516</v>
      </c>
      <c r="F1384" s="7" t="n">
        <v>0.00279440126154271</v>
      </c>
    </row>
    <row r="1385" customFormat="false" ht="15" hidden="false" customHeight="true" outlineLevel="0" collapsed="false">
      <c r="A1385" s="5" t="s">
        <v>88</v>
      </c>
      <c r="B1385" s="5" t="s">
        <v>83</v>
      </c>
      <c r="C1385" s="5" t="s">
        <v>387</v>
      </c>
      <c r="D1385" s="6" t="n">
        <v>0.1215554121837</v>
      </c>
      <c r="E1385" s="6" t="n">
        <v>0.0411311559807618</v>
      </c>
      <c r="F1385" s="7" t="n">
        <v>0.00312352669973452</v>
      </c>
    </row>
    <row r="1386" customFormat="false" ht="15" hidden="false" customHeight="true" outlineLevel="0" collapsed="false">
      <c r="A1386" s="5" t="s">
        <v>88</v>
      </c>
      <c r="B1386" s="5" t="s">
        <v>83</v>
      </c>
      <c r="C1386" s="5" t="s">
        <v>388</v>
      </c>
      <c r="D1386" s="6" t="n">
        <v>0.119428971964355</v>
      </c>
      <c r="E1386" s="6" t="n">
        <v>0.0410584324473114</v>
      </c>
      <c r="F1386" s="7" t="n">
        <v>0.00362869659757136</v>
      </c>
    </row>
    <row r="1387" customFormat="false" ht="15" hidden="false" customHeight="true" outlineLevel="0" collapsed="false">
      <c r="A1387" s="5" t="s">
        <v>88</v>
      </c>
      <c r="B1387" s="5" t="s">
        <v>83</v>
      </c>
      <c r="C1387" s="5" t="s">
        <v>389</v>
      </c>
      <c r="D1387" s="6" t="n">
        <v>0.125527343395525</v>
      </c>
      <c r="E1387" s="6" t="n">
        <v>0.0409859246875298</v>
      </c>
      <c r="F1387" s="7" t="n">
        <v>0.00219354279475662</v>
      </c>
    </row>
    <row r="1388" customFormat="false" ht="15" hidden="false" customHeight="true" outlineLevel="0" collapsed="false">
      <c r="A1388" s="5" t="s">
        <v>88</v>
      </c>
      <c r="B1388" s="5" t="s">
        <v>83</v>
      </c>
      <c r="C1388" s="5" t="s">
        <v>390</v>
      </c>
      <c r="D1388" s="6" t="n">
        <v>0.123414722363733</v>
      </c>
      <c r="E1388" s="6" t="n">
        <v>0.0411740432405092</v>
      </c>
      <c r="F1388" s="7" t="n">
        <v>0.00272300874875385</v>
      </c>
    </row>
    <row r="1389" customFormat="false" ht="15" hidden="false" customHeight="true" outlineLevel="0" collapsed="false">
      <c r="A1389" s="5" t="s">
        <v>88</v>
      </c>
      <c r="B1389" s="5" t="s">
        <v>83</v>
      </c>
      <c r="C1389" s="5" t="s">
        <v>391</v>
      </c>
      <c r="D1389" s="6" t="n">
        <v>0.120914612777979</v>
      </c>
      <c r="E1389" s="6" t="n">
        <v>0.041127052993718</v>
      </c>
      <c r="F1389" s="7" t="n">
        <v>0.00328184509283381</v>
      </c>
    </row>
    <row r="1390" customFormat="false" ht="15" hidden="false" customHeight="true" outlineLevel="0" collapsed="false">
      <c r="A1390" s="5" t="s">
        <v>88</v>
      </c>
      <c r="B1390" s="5" t="s">
        <v>83</v>
      </c>
      <c r="C1390" s="5" t="s">
        <v>392</v>
      </c>
      <c r="D1390" s="6" t="n">
        <v>0.122569882429476</v>
      </c>
      <c r="E1390" s="6" t="n">
        <v>0.0411177398408524</v>
      </c>
      <c r="F1390" s="7" t="n">
        <v>0.00287356713363851</v>
      </c>
    </row>
    <row r="1391" customFormat="false" ht="15" hidden="false" customHeight="true" outlineLevel="0" collapsed="false">
      <c r="A1391" s="5" t="s">
        <v>88</v>
      </c>
      <c r="B1391" s="5" t="s">
        <v>83</v>
      </c>
      <c r="C1391" s="5" t="s">
        <v>393</v>
      </c>
      <c r="D1391" s="6" t="n">
        <v>0.12163856126313</v>
      </c>
      <c r="E1391" s="6" t="n">
        <v>0.0412104252534751</v>
      </c>
      <c r="F1391" s="7" t="n">
        <v>0.00316085712138971</v>
      </c>
    </row>
    <row r="1392" customFormat="false" ht="15" hidden="false" customHeight="true" outlineLevel="0" collapsed="false">
      <c r="A1392" s="5" t="s">
        <v>88</v>
      </c>
      <c r="B1392" s="5" t="s">
        <v>83</v>
      </c>
      <c r="C1392" s="5" t="s">
        <v>394</v>
      </c>
      <c r="D1392" s="6" t="n">
        <v>0.11857367604879</v>
      </c>
      <c r="E1392" s="6" t="n">
        <v>0.0409969849310567</v>
      </c>
      <c r="F1392" s="7" t="n">
        <v>0.00382489107253314</v>
      </c>
    </row>
    <row r="1393" customFormat="false" ht="15" hidden="false" customHeight="true" outlineLevel="0" collapsed="false">
      <c r="A1393" s="5" t="s">
        <v>88</v>
      </c>
      <c r="B1393" s="5" t="s">
        <v>83</v>
      </c>
      <c r="C1393" s="5" t="s">
        <v>396</v>
      </c>
      <c r="D1393" s="6" t="n">
        <v>0.124054056764602</v>
      </c>
      <c r="E1393" s="6" t="n">
        <v>0.0410703083086375</v>
      </c>
      <c r="F1393" s="7" t="n">
        <v>0.00252333553339247</v>
      </c>
    </row>
    <row r="1394" customFormat="false" ht="15" hidden="false" customHeight="true" outlineLevel="0" collapsed="false">
      <c r="A1394" s="5" t="s">
        <v>88</v>
      </c>
      <c r="B1394" s="5" t="s">
        <v>83</v>
      </c>
      <c r="C1394" s="5" t="s">
        <v>397</v>
      </c>
      <c r="D1394" s="6" t="n">
        <v>0.123146140911448</v>
      </c>
      <c r="E1394" s="6" t="n">
        <v>0.0410951598819659</v>
      </c>
      <c r="F1394" s="7" t="n">
        <v>0.00273000294672544</v>
      </c>
    </row>
    <row r="1395" customFormat="false" ht="15" hidden="false" customHeight="true" outlineLevel="0" collapsed="false">
      <c r="A1395" s="5" t="s">
        <v>88</v>
      </c>
      <c r="B1395" s="5" t="s">
        <v>83</v>
      </c>
      <c r="C1395" s="5" t="s">
        <v>398</v>
      </c>
      <c r="D1395" s="6" t="n">
        <v>0.121751818989317</v>
      </c>
      <c r="E1395" s="6" t="n">
        <v>0.0411365314194144</v>
      </c>
      <c r="F1395" s="7" t="n">
        <v>0.00307938094626755</v>
      </c>
    </row>
    <row r="1396" customFormat="false" ht="15" hidden="false" customHeight="true" outlineLevel="0" collapsed="false">
      <c r="A1396" s="5" t="s">
        <v>88</v>
      </c>
      <c r="B1396" s="5" t="s">
        <v>83</v>
      </c>
      <c r="C1396" s="5" t="s">
        <v>399</v>
      </c>
      <c r="D1396" s="6" t="n">
        <v>0.120606831858593</v>
      </c>
      <c r="E1396" s="6" t="n">
        <v>0.0411416567119606</v>
      </c>
      <c r="F1396" s="7" t="n">
        <v>0.00337327644940792</v>
      </c>
    </row>
    <row r="1397" customFormat="false" ht="15" hidden="false" customHeight="true" outlineLevel="0" collapsed="false">
      <c r="A1397" s="5" t="s">
        <v>88</v>
      </c>
      <c r="B1397" s="5" t="s">
        <v>83</v>
      </c>
      <c r="C1397" s="5" t="s">
        <v>400</v>
      </c>
      <c r="D1397" s="6" t="n">
        <v>0.122130698229847</v>
      </c>
      <c r="E1397" s="6" t="n">
        <v>0.0411498980853356</v>
      </c>
      <c r="F1397" s="7" t="n">
        <v>0.00299796453973925</v>
      </c>
    </row>
    <row r="1398" customFormat="false" ht="15" hidden="false" customHeight="true" outlineLevel="0" collapsed="false">
      <c r="A1398" s="5" t="s">
        <v>88</v>
      </c>
      <c r="B1398" s="5" t="s">
        <v>83</v>
      </c>
      <c r="C1398" s="5" t="s">
        <v>401</v>
      </c>
      <c r="D1398" s="6" t="n">
        <v>0.122039435268235</v>
      </c>
      <c r="E1398" s="6" t="n">
        <v>0.0411580426007905</v>
      </c>
      <c r="F1398" s="7" t="n">
        <v>0.00302543376608916</v>
      </c>
    </row>
    <row r="1399" customFormat="false" ht="15" hidden="false" customHeight="true" outlineLevel="0" collapsed="false">
      <c r="A1399" s="5" t="s">
        <v>88</v>
      </c>
      <c r="B1399" s="5" t="s">
        <v>83</v>
      </c>
      <c r="C1399" s="5" t="s">
        <v>402</v>
      </c>
      <c r="D1399" s="6" t="n">
        <v>0.122341609383044</v>
      </c>
      <c r="E1399" s="6" t="n">
        <v>0.0411209953119274</v>
      </c>
      <c r="F1399" s="7" t="n">
        <v>0.00292834166162303</v>
      </c>
    </row>
    <row r="1400" customFormat="false" ht="15" hidden="false" customHeight="true" outlineLevel="0" collapsed="false">
      <c r="A1400" s="5" t="s">
        <v>88</v>
      </c>
      <c r="B1400" s="5" t="s">
        <v>83</v>
      </c>
      <c r="C1400" s="5" t="s">
        <v>403</v>
      </c>
      <c r="D1400" s="6" t="n">
        <v>0.122195776957613</v>
      </c>
      <c r="E1400" s="6" t="n">
        <v>0.0411342699357382</v>
      </c>
      <c r="F1400" s="7" t="n">
        <v>0.00297164174803673</v>
      </c>
    </row>
    <row r="1401" customFormat="false" ht="15" hidden="false" customHeight="true" outlineLevel="0" collapsed="false">
      <c r="A1401" s="5" t="s">
        <v>88</v>
      </c>
      <c r="B1401" s="5" t="s">
        <v>83</v>
      </c>
      <c r="C1401" s="5" t="s">
        <v>201</v>
      </c>
      <c r="D1401" s="6" t="n">
        <v>0.114230540502886</v>
      </c>
      <c r="E1401" s="6" t="n">
        <v>0.041194588297613</v>
      </c>
      <c r="F1401" s="7" t="n">
        <v>0.00555506267521543</v>
      </c>
    </row>
    <row r="1402" customFormat="false" ht="15" hidden="false" customHeight="true" outlineLevel="0" collapsed="false">
      <c r="A1402" s="5" t="s">
        <v>88</v>
      </c>
      <c r="B1402" s="5" t="s">
        <v>83</v>
      </c>
      <c r="C1402" s="5" t="s">
        <v>404</v>
      </c>
      <c r="D1402" s="6" t="n">
        <v>0.122004454325013</v>
      </c>
      <c r="E1402" s="6" t="n">
        <v>0.0411321203130263</v>
      </c>
      <c r="F1402" s="7" t="n">
        <v>0.00301543465931527</v>
      </c>
    </row>
    <row r="1403" customFormat="false" ht="15" hidden="false" customHeight="true" outlineLevel="0" collapsed="false">
      <c r="A1403" s="5" t="s">
        <v>88</v>
      </c>
      <c r="B1403" s="5" t="s">
        <v>83</v>
      </c>
      <c r="C1403" s="5" t="s">
        <v>405</v>
      </c>
      <c r="D1403" s="6" t="n">
        <v>0.122168391449576</v>
      </c>
      <c r="E1403" s="6" t="n">
        <v>0.0411445567197291</v>
      </c>
      <c r="F1403" s="7" t="n">
        <v>0.00298529588146069</v>
      </c>
    </row>
    <row r="1404" customFormat="false" ht="15" hidden="false" customHeight="true" outlineLevel="0" collapsed="false">
      <c r="A1404" s="5" t="s">
        <v>88</v>
      </c>
      <c r="B1404" s="5" t="s">
        <v>83</v>
      </c>
      <c r="C1404" s="5" t="s">
        <v>406</v>
      </c>
      <c r="D1404" s="6" t="n">
        <v>0.118817275608314</v>
      </c>
      <c r="E1404" s="6" t="n">
        <v>0.0409600961426683</v>
      </c>
      <c r="F1404" s="7" t="n">
        <v>0.00372204726701754</v>
      </c>
    </row>
    <row r="1405" customFormat="false" ht="15" hidden="false" customHeight="true" outlineLevel="0" collapsed="false">
      <c r="A1405" s="5" t="s">
        <v>88</v>
      </c>
      <c r="B1405" s="5" t="s">
        <v>83</v>
      </c>
      <c r="C1405" s="5" t="s">
        <v>407</v>
      </c>
      <c r="D1405" s="6" t="n">
        <v>0.122838860531453</v>
      </c>
      <c r="E1405" s="6" t="n">
        <v>0.0411062039123859</v>
      </c>
      <c r="F1405" s="7" t="n">
        <v>0.00280507435288094</v>
      </c>
    </row>
    <row r="1406" customFormat="false" ht="15" hidden="false" customHeight="true" outlineLevel="0" collapsed="false">
      <c r="A1406" s="5" t="s">
        <v>88</v>
      </c>
      <c r="B1406" s="5" t="s">
        <v>83</v>
      </c>
      <c r="C1406" s="5" t="s">
        <v>408</v>
      </c>
      <c r="D1406" s="6" t="n">
        <v>0.121844850346359</v>
      </c>
      <c r="E1406" s="6" t="n">
        <v>0.041152926176612</v>
      </c>
      <c r="F1406" s="7" t="n">
        <v>0.00306858879935284</v>
      </c>
    </row>
    <row r="1407" customFormat="false" ht="15" hidden="false" customHeight="true" outlineLevel="0" collapsed="false">
      <c r="A1407" s="5" t="s">
        <v>88</v>
      </c>
      <c r="B1407" s="5" t="s">
        <v>83</v>
      </c>
      <c r="C1407" s="5" t="s">
        <v>409</v>
      </c>
      <c r="D1407" s="6" t="n">
        <v>0.122232727560787</v>
      </c>
      <c r="E1407" s="6" t="n">
        <v>0.0411172812857507</v>
      </c>
      <c r="F1407" s="7" t="n">
        <v>0.00295113650138362</v>
      </c>
    </row>
    <row r="1408" customFormat="false" ht="15" hidden="false" customHeight="true" outlineLevel="0" collapsed="false">
      <c r="A1408" s="5" t="s">
        <v>88</v>
      </c>
      <c r="B1408" s="5" t="s">
        <v>83</v>
      </c>
      <c r="C1408" s="5" t="s">
        <v>410</v>
      </c>
      <c r="D1408" s="6" t="n">
        <v>0.11987801012971</v>
      </c>
      <c r="E1408" s="6" t="n">
        <v>0.0410381699672559</v>
      </c>
      <c r="F1408" s="7" t="n">
        <v>0.00348759336188055</v>
      </c>
    </row>
    <row r="1409" customFormat="false" ht="15" hidden="false" customHeight="true" outlineLevel="0" collapsed="false">
      <c r="A1409" s="5" t="s">
        <v>88</v>
      </c>
      <c r="B1409" s="5" t="s">
        <v>83</v>
      </c>
      <c r="C1409" s="5" t="s">
        <v>411</v>
      </c>
      <c r="D1409" s="6" t="n">
        <v>0.120931669205332</v>
      </c>
      <c r="E1409" s="6" t="n">
        <v>0.0411370446381409</v>
      </c>
      <c r="F1409" s="7" t="n">
        <v>0.00328501842675957</v>
      </c>
    </row>
    <row r="1410" customFormat="false" ht="15" hidden="false" customHeight="true" outlineLevel="0" collapsed="false">
      <c r="A1410" s="5" t="s">
        <v>88</v>
      </c>
      <c r="B1410" s="5" t="s">
        <v>83</v>
      </c>
      <c r="C1410" s="5" t="s">
        <v>777</v>
      </c>
      <c r="D1410" s="6" t="n">
        <v>0.121881771180328</v>
      </c>
      <c r="E1410" s="6" t="n">
        <v>0.041137690565791</v>
      </c>
      <c r="F1410" s="7" t="n">
        <v>0.00304878132349256</v>
      </c>
    </row>
    <row r="1411" customFormat="false" ht="15" hidden="false" customHeight="true" outlineLevel="0" collapsed="false">
      <c r="A1411" s="5" t="s">
        <v>88</v>
      </c>
      <c r="B1411" s="5" t="s">
        <v>83</v>
      </c>
      <c r="C1411" s="5" t="s">
        <v>412</v>
      </c>
      <c r="D1411" s="6" t="n">
        <v>0.119742337795212</v>
      </c>
      <c r="E1411" s="6" t="n">
        <v>0.0411415838114319</v>
      </c>
      <c r="F1411" s="7" t="n">
        <v>0.00360857755970513</v>
      </c>
    </row>
    <row r="1412" customFormat="false" ht="15" hidden="false" customHeight="true" outlineLevel="0" collapsed="false">
      <c r="A1412" s="5" t="s">
        <v>88</v>
      </c>
      <c r="B1412" s="5" t="s">
        <v>83</v>
      </c>
      <c r="C1412" s="5" t="s">
        <v>413</v>
      </c>
      <c r="D1412" s="6" t="n">
        <v>0.120007502059896</v>
      </c>
      <c r="E1412" s="6" t="n">
        <v>0.0410881004987331</v>
      </c>
      <c r="F1412" s="7" t="n">
        <v>0.00349205388979287</v>
      </c>
    </row>
    <row r="1413" customFormat="false" ht="15" hidden="false" customHeight="true" outlineLevel="0" collapsed="false">
      <c r="A1413" s="5" t="s">
        <v>88</v>
      </c>
      <c r="B1413" s="5" t="s">
        <v>83</v>
      </c>
      <c r="C1413" s="5" t="s">
        <v>414</v>
      </c>
      <c r="D1413" s="6" t="n">
        <v>0.121170412456181</v>
      </c>
      <c r="E1413" s="6" t="n">
        <v>0.0411726351562197</v>
      </c>
      <c r="F1413" s="7" t="n">
        <v>0.00325065066223762</v>
      </c>
    </row>
    <row r="1414" customFormat="false" ht="15" hidden="false" customHeight="true" outlineLevel="0" collapsed="false">
      <c r="A1414" s="5" t="s">
        <v>88</v>
      </c>
      <c r="B1414" s="5" t="s">
        <v>83</v>
      </c>
      <c r="C1414" s="5" t="s">
        <v>415</v>
      </c>
      <c r="D1414" s="6" t="n">
        <v>0.121710090117946</v>
      </c>
      <c r="E1414" s="6" t="n">
        <v>0.0411304045718209</v>
      </c>
      <c r="F1414" s="7" t="n">
        <v>0.00308511943669066</v>
      </c>
    </row>
    <row r="1415" customFormat="false" ht="15" hidden="false" customHeight="true" outlineLevel="0" collapsed="false">
      <c r="A1415" s="5" t="s">
        <v>88</v>
      </c>
      <c r="B1415" s="5" t="s">
        <v>83</v>
      </c>
      <c r="C1415" s="5" t="s">
        <v>416</v>
      </c>
      <c r="D1415" s="6" t="n">
        <v>0.122280906270991</v>
      </c>
      <c r="E1415" s="6" t="n">
        <v>0.0411240268403031</v>
      </c>
      <c r="F1415" s="7" t="n">
        <v>0.00294456777951891</v>
      </c>
    </row>
    <row r="1416" customFormat="false" ht="15" hidden="false" customHeight="true" outlineLevel="0" collapsed="false">
      <c r="A1416" s="5" t="s">
        <v>88</v>
      </c>
      <c r="B1416" s="5" t="s">
        <v>83</v>
      </c>
      <c r="C1416" s="5" t="s">
        <v>778</v>
      </c>
      <c r="D1416" s="6" t="n">
        <v>0.122348319241123</v>
      </c>
      <c r="E1416" s="6" t="n">
        <v>0.0411281595992784</v>
      </c>
      <c r="F1416" s="7" t="n">
        <v>0.00293173350444042</v>
      </c>
    </row>
    <row r="1417" customFormat="false" ht="15" hidden="false" customHeight="true" outlineLevel="0" collapsed="false">
      <c r="A1417" s="5" t="s">
        <v>88</v>
      </c>
      <c r="B1417" s="5" t="s">
        <v>83</v>
      </c>
      <c r="C1417" s="5" t="s">
        <v>417</v>
      </c>
      <c r="D1417" s="6" t="n">
        <v>0.123709368909667</v>
      </c>
      <c r="E1417" s="6" t="n">
        <v>0.0410465381928262</v>
      </c>
      <c r="F1417" s="7" t="n">
        <v>0.00257929216153648</v>
      </c>
    </row>
    <row r="1418" customFormat="false" ht="15" hidden="false" customHeight="true" outlineLevel="0" collapsed="false">
      <c r="A1418" s="5" t="s">
        <v>88</v>
      </c>
      <c r="B1418" s="5" t="s">
        <v>83</v>
      </c>
      <c r="C1418" s="5" t="s">
        <v>418</v>
      </c>
      <c r="D1418" s="6" t="n">
        <v>0.123192412274678</v>
      </c>
      <c r="E1418" s="6" t="n">
        <v>0.041052889329114</v>
      </c>
      <c r="F1418" s="7" t="n">
        <v>0.00269251933729933</v>
      </c>
    </row>
    <row r="1419" customFormat="false" ht="15" hidden="false" customHeight="true" outlineLevel="0" collapsed="false">
      <c r="A1419" s="5" t="s">
        <v>88</v>
      </c>
      <c r="B1419" s="5" t="s">
        <v>83</v>
      </c>
      <c r="C1419" s="5" t="s">
        <v>419</v>
      </c>
      <c r="D1419" s="6" t="n">
        <v>0.120085418912993</v>
      </c>
      <c r="E1419" s="6" t="n">
        <v>0.0411176780954833</v>
      </c>
      <c r="F1419" s="7" t="n">
        <v>0.00349436374488863</v>
      </c>
    </row>
    <row r="1420" customFormat="false" ht="15" hidden="false" customHeight="true" outlineLevel="0" collapsed="false">
      <c r="A1420" s="5" t="s">
        <v>88</v>
      </c>
      <c r="B1420" s="5" t="s">
        <v>83</v>
      </c>
      <c r="C1420" s="5" t="s">
        <v>420</v>
      </c>
      <c r="D1420" s="6" t="n">
        <v>0.121447946573384</v>
      </c>
      <c r="E1420" s="6" t="n">
        <v>0.0411735548023443</v>
      </c>
      <c r="F1420" s="7" t="n">
        <v>0.00318124831826876</v>
      </c>
    </row>
    <row r="1421" customFormat="false" ht="15" hidden="false" customHeight="true" outlineLevel="0" collapsed="false">
      <c r="A1421" s="5" t="s">
        <v>88</v>
      </c>
      <c r="B1421" s="5" t="s">
        <v>83</v>
      </c>
      <c r="C1421" s="5" t="s">
        <v>421</v>
      </c>
      <c r="D1421" s="6" t="n">
        <v>0.121358231897884</v>
      </c>
      <c r="E1421" s="6" t="n">
        <v>0.041177860758532</v>
      </c>
      <c r="F1421" s="7" t="n">
        <v>0.00320694929981059</v>
      </c>
    </row>
    <row r="1422" customFormat="false" ht="15" hidden="false" customHeight="true" outlineLevel="0" collapsed="false">
      <c r="A1422" s="5" t="s">
        <v>88</v>
      </c>
      <c r="B1422" s="5" t="s">
        <v>83</v>
      </c>
      <c r="C1422" s="5" t="s">
        <v>422</v>
      </c>
      <c r="D1422" s="6" t="n">
        <v>0.122704062708173</v>
      </c>
      <c r="E1422" s="6" t="n">
        <v>0.041139074458711</v>
      </c>
      <c r="F1422" s="7" t="n">
        <v>0.00285750911742243</v>
      </c>
    </row>
    <row r="1423" customFormat="false" ht="15" hidden="false" customHeight="true" outlineLevel="0" collapsed="false">
      <c r="A1423" s="5" t="s">
        <v>88</v>
      </c>
      <c r="B1423" s="5" t="s">
        <v>83</v>
      </c>
      <c r="C1423" s="5" t="s">
        <v>423</v>
      </c>
      <c r="D1423" s="6" t="n">
        <v>0.121714699610512</v>
      </c>
      <c r="E1423" s="6" t="n">
        <v>0.0411343945208374</v>
      </c>
      <c r="F1423" s="7" t="n">
        <v>0.00308687162271998</v>
      </c>
    </row>
    <row r="1424" customFormat="false" ht="15" hidden="false" customHeight="true" outlineLevel="0" collapsed="false">
      <c r="A1424" s="5" t="s">
        <v>88</v>
      </c>
      <c r="B1424" s="5" t="s">
        <v>83</v>
      </c>
      <c r="C1424" s="5" t="s">
        <v>424</v>
      </c>
      <c r="D1424" s="6" t="n">
        <v>0.127823019330486</v>
      </c>
      <c r="E1424" s="6" t="n">
        <v>0.0414360051374365</v>
      </c>
      <c r="F1424" s="7" t="n">
        <v>0.00203668734114486</v>
      </c>
    </row>
    <row r="1425" customFormat="false" ht="15" hidden="false" customHeight="true" outlineLevel="0" collapsed="false">
      <c r="A1425" s="5" t="s">
        <v>88</v>
      </c>
      <c r="B1425" s="5" t="s">
        <v>83</v>
      </c>
      <c r="C1425" s="5" t="s">
        <v>779</v>
      </c>
      <c r="D1425" s="6" t="n">
        <v>0.119199416231632</v>
      </c>
      <c r="E1425" s="6" t="n">
        <v>0.0408760185880349</v>
      </c>
      <c r="F1425" s="7" t="n">
        <v>0.00354413021854905</v>
      </c>
    </row>
    <row r="1426" customFormat="false" ht="15" hidden="false" customHeight="true" outlineLevel="0" collapsed="false">
      <c r="A1426" s="5" t="s">
        <v>88</v>
      </c>
      <c r="B1426" s="5" t="s">
        <v>83</v>
      </c>
      <c r="C1426" s="5" t="s">
        <v>780</v>
      </c>
      <c r="D1426" s="6" t="n">
        <v>0.118549719733972</v>
      </c>
      <c r="E1426" s="6" t="n">
        <v>0.0409371977633025</v>
      </c>
      <c r="F1426" s="7" t="n">
        <v>0.00378082016607318</v>
      </c>
    </row>
    <row r="1427" customFormat="false" ht="15" hidden="false" customHeight="true" outlineLevel="0" collapsed="false">
      <c r="A1427" s="5" t="s">
        <v>88</v>
      </c>
      <c r="B1427" s="5" t="s">
        <v>83</v>
      </c>
      <c r="C1427" s="5" t="s">
        <v>426</v>
      </c>
      <c r="D1427" s="6" t="n">
        <v>0.1221973925427</v>
      </c>
      <c r="E1427" s="6" t="n">
        <v>0.0411347626313346</v>
      </c>
      <c r="F1427" s="7" t="n">
        <v>0.00297160600714825</v>
      </c>
    </row>
    <row r="1428" customFormat="false" ht="15" hidden="false" customHeight="true" outlineLevel="0" collapsed="false">
      <c r="A1428" s="5" t="s">
        <v>88</v>
      </c>
      <c r="B1428" s="5" t="s">
        <v>83</v>
      </c>
      <c r="C1428" s="5" t="s">
        <v>427</v>
      </c>
      <c r="D1428" s="6" t="n">
        <v>0.121686175869694</v>
      </c>
      <c r="E1428" s="6" t="n">
        <v>0.0411313873113131</v>
      </c>
      <c r="F1428" s="7" t="n">
        <v>0.00309165445195298</v>
      </c>
    </row>
    <row r="1429" customFormat="false" ht="15" hidden="false" customHeight="true" outlineLevel="0" collapsed="false">
      <c r="A1429" s="5" t="s">
        <v>88</v>
      </c>
      <c r="B1429" s="5" t="s">
        <v>83</v>
      </c>
      <c r="C1429" s="5" t="s">
        <v>428</v>
      </c>
      <c r="D1429" s="6" t="n">
        <v>0.119874073824978</v>
      </c>
      <c r="E1429" s="6" t="n">
        <v>0.0411079805900278</v>
      </c>
      <c r="F1429" s="7" t="n">
        <v>0.0035446198351701</v>
      </c>
    </row>
    <row r="1430" customFormat="false" ht="15" hidden="false" customHeight="true" outlineLevel="0" collapsed="false">
      <c r="A1430" s="5" t="s">
        <v>88</v>
      </c>
      <c r="B1430" s="5" t="s">
        <v>83</v>
      </c>
      <c r="C1430" s="5" t="s">
        <v>429</v>
      </c>
      <c r="D1430" s="6" t="n">
        <v>0.121227642678071</v>
      </c>
      <c r="E1430" s="6" t="n">
        <v>0.0411359160746998</v>
      </c>
      <c r="F1430" s="7" t="n">
        <v>0.00320870731225303</v>
      </c>
    </row>
    <row r="1431" customFormat="false" ht="15" hidden="false" customHeight="true" outlineLevel="0" collapsed="false">
      <c r="A1431" s="5" t="s">
        <v>88</v>
      </c>
      <c r="B1431" s="5" t="s">
        <v>83</v>
      </c>
      <c r="C1431" s="5" t="s">
        <v>430</v>
      </c>
      <c r="D1431" s="6" t="n">
        <v>0.121203733037248</v>
      </c>
      <c r="E1431" s="6" t="n">
        <v>0.0411913295966394</v>
      </c>
      <c r="F1431" s="7" t="n">
        <v>0.0032561857145672</v>
      </c>
    </row>
    <row r="1432" customFormat="false" ht="15" hidden="false" customHeight="true" outlineLevel="0" collapsed="false">
      <c r="A1432" s="5" t="s">
        <v>88</v>
      </c>
      <c r="B1432" s="5" t="s">
        <v>83</v>
      </c>
      <c r="C1432" s="5" t="s">
        <v>431</v>
      </c>
      <c r="D1432" s="6" t="n">
        <v>0.121095086877409</v>
      </c>
      <c r="E1432" s="6" t="n">
        <v>0.0411831070215336</v>
      </c>
      <c r="F1432" s="7" t="n">
        <v>0.0032778162095974</v>
      </c>
    </row>
    <row r="1433" customFormat="false" ht="15" hidden="false" customHeight="true" outlineLevel="0" collapsed="false">
      <c r="A1433" s="5" t="s">
        <v>88</v>
      </c>
      <c r="B1433" s="5" t="s">
        <v>83</v>
      </c>
      <c r="C1433" s="5" t="s">
        <v>432</v>
      </c>
      <c r="D1433" s="6" t="n">
        <v>0.119409527067597</v>
      </c>
      <c r="E1433" s="6" t="n">
        <v>0.0411294630922433</v>
      </c>
      <c r="F1433" s="7" t="n">
        <v>0.00369299845025441</v>
      </c>
    </row>
    <row r="1434" customFormat="false" ht="15" hidden="false" customHeight="true" outlineLevel="0" collapsed="false">
      <c r="A1434" s="5" t="s">
        <v>88</v>
      </c>
      <c r="B1434" s="5" t="s">
        <v>83</v>
      </c>
      <c r="C1434" s="5" t="s">
        <v>433</v>
      </c>
      <c r="D1434" s="6" t="n">
        <v>0.122208441924655</v>
      </c>
      <c r="E1434" s="6" t="n">
        <v>0.0411386583938348</v>
      </c>
      <c r="F1434" s="7" t="n">
        <v>0.00297172915176605</v>
      </c>
    </row>
    <row r="1435" customFormat="false" ht="15" hidden="false" customHeight="true" outlineLevel="0" collapsed="false">
      <c r="A1435" s="5" t="s">
        <v>88</v>
      </c>
      <c r="B1435" s="5" t="s">
        <v>83</v>
      </c>
      <c r="C1435" s="5" t="s">
        <v>434</v>
      </c>
      <c r="D1435" s="6" t="n">
        <v>0.12359783032807</v>
      </c>
      <c r="E1435" s="6" t="n">
        <v>0.0410985031357196</v>
      </c>
      <c r="F1435" s="7" t="n">
        <v>0.00263530938644954</v>
      </c>
    </row>
    <row r="1436" customFormat="false" ht="15" hidden="false" customHeight="true" outlineLevel="0" collapsed="false">
      <c r="A1436" s="5" t="s">
        <v>88</v>
      </c>
      <c r="B1436" s="5" t="s">
        <v>83</v>
      </c>
      <c r="C1436" s="5" t="s">
        <v>435</v>
      </c>
      <c r="D1436" s="6" t="n">
        <v>0.123758320135653</v>
      </c>
      <c r="E1436" s="6" t="n">
        <v>0.0410444362944289</v>
      </c>
      <c r="F1436" s="7" t="n">
        <v>0.00256786420988943</v>
      </c>
    </row>
    <row r="1437" customFormat="false" ht="15" hidden="false" customHeight="true" outlineLevel="0" collapsed="false">
      <c r="A1437" s="5" t="s">
        <v>88</v>
      </c>
      <c r="B1437" s="5" t="s">
        <v>83</v>
      </c>
      <c r="C1437" s="5" t="s">
        <v>436</v>
      </c>
      <c r="D1437" s="6" t="n">
        <v>0.125062976946144</v>
      </c>
      <c r="E1437" s="6" t="n">
        <v>0.0410055358958437</v>
      </c>
      <c r="F1437" s="7" t="n">
        <v>0.00228913985408109</v>
      </c>
    </row>
    <row r="1438" customFormat="false" ht="15" hidden="false" customHeight="true" outlineLevel="0" collapsed="false">
      <c r="A1438" s="5" t="s">
        <v>88</v>
      </c>
      <c r="B1438" s="5" t="s">
        <v>83</v>
      </c>
      <c r="C1438" s="5" t="s">
        <v>437</v>
      </c>
      <c r="D1438" s="6" t="n">
        <v>0.12147582151696</v>
      </c>
      <c r="E1438" s="6" t="n">
        <v>0.0411444873365696</v>
      </c>
      <c r="F1438" s="7" t="n">
        <v>0.00315293404389659</v>
      </c>
    </row>
    <row r="1439" customFormat="false" ht="15" hidden="false" customHeight="true" outlineLevel="0" collapsed="false">
      <c r="A1439" s="5" t="s">
        <v>88</v>
      </c>
      <c r="B1439" s="5" t="s">
        <v>83</v>
      </c>
      <c r="C1439" s="5" t="s">
        <v>438</v>
      </c>
      <c r="D1439" s="6" t="n">
        <v>0.121262331938113</v>
      </c>
      <c r="E1439" s="6" t="n">
        <v>0.0411382254797852</v>
      </c>
      <c r="F1439" s="7" t="n">
        <v>0.00320168109207028</v>
      </c>
    </row>
    <row r="1440" customFormat="false" ht="15" hidden="false" customHeight="true" outlineLevel="0" collapsed="false">
      <c r="A1440" s="5" t="s">
        <v>88</v>
      </c>
      <c r="B1440" s="5" t="s">
        <v>83</v>
      </c>
      <c r="C1440" s="5" t="s">
        <v>439</v>
      </c>
      <c r="D1440" s="6" t="n">
        <v>0.119630341579161</v>
      </c>
      <c r="E1440" s="6" t="n">
        <v>0.0410505408599052</v>
      </c>
      <c r="F1440" s="7" t="n">
        <v>0.00356577563946045</v>
      </c>
    </row>
    <row r="1441" customFormat="false" ht="15" hidden="false" customHeight="true" outlineLevel="0" collapsed="false">
      <c r="A1441" s="5" t="s">
        <v>88</v>
      </c>
      <c r="B1441" s="5" t="s">
        <v>83</v>
      </c>
      <c r="C1441" s="5" t="s">
        <v>440</v>
      </c>
      <c r="D1441" s="6" t="n">
        <v>0.123532803843819</v>
      </c>
      <c r="E1441" s="6" t="n">
        <v>0.0410411467715124</v>
      </c>
      <c r="F1441" s="7" t="n">
        <v>0.00261269653039758</v>
      </c>
    </row>
    <row r="1442" customFormat="false" ht="15" hidden="false" customHeight="true" outlineLevel="0" collapsed="false">
      <c r="A1442" s="5" t="s">
        <v>88</v>
      </c>
      <c r="B1442" s="5" t="s">
        <v>83</v>
      </c>
      <c r="C1442" s="5" t="s">
        <v>441</v>
      </c>
      <c r="D1442" s="6" t="n">
        <v>0.121176334362626</v>
      </c>
      <c r="E1442" s="6" t="n">
        <v>0.0411967763284805</v>
      </c>
      <c r="F1442" s="7" t="n">
        <v>0.00326728824273285</v>
      </c>
    </row>
    <row r="1443" customFormat="false" ht="15" hidden="false" customHeight="true" outlineLevel="0" collapsed="false">
      <c r="A1443" s="5" t="s">
        <v>88</v>
      </c>
      <c r="B1443" s="5" t="s">
        <v>83</v>
      </c>
      <c r="C1443" s="5" t="s">
        <v>442</v>
      </c>
      <c r="D1443" s="6" t="n">
        <v>0.120108969575283</v>
      </c>
      <c r="E1443" s="6" t="n">
        <v>0.0410735504108408</v>
      </c>
      <c r="F1443" s="7" t="n">
        <v>0.00345297040813467</v>
      </c>
    </row>
    <row r="1444" customFormat="false" ht="15" hidden="false" customHeight="true" outlineLevel="0" collapsed="false">
      <c r="A1444" s="5" t="s">
        <v>88</v>
      </c>
      <c r="B1444" s="5" t="s">
        <v>83</v>
      </c>
      <c r="C1444" s="5" t="s">
        <v>443</v>
      </c>
      <c r="D1444" s="6" t="n">
        <v>0.12345496818372</v>
      </c>
      <c r="E1444" s="6" t="n">
        <v>0.0412139798575224</v>
      </c>
      <c r="F1444" s="7" t="n">
        <v>0.00274028185910245</v>
      </c>
    </row>
    <row r="1445" customFormat="false" ht="15" hidden="false" customHeight="true" outlineLevel="0" collapsed="false">
      <c r="A1445" s="5" t="s">
        <v>88</v>
      </c>
      <c r="B1445" s="5" t="s">
        <v>83</v>
      </c>
      <c r="C1445" s="5" t="s">
        <v>444</v>
      </c>
      <c r="D1445" s="6" t="n">
        <v>0.116309405505231</v>
      </c>
      <c r="E1445" s="6" t="n">
        <v>0.0409126687498044</v>
      </c>
      <c r="F1445" s="7" t="n">
        <v>0.0044709278963016</v>
      </c>
    </row>
    <row r="1446" customFormat="false" ht="15" hidden="false" customHeight="true" outlineLevel="0" collapsed="false">
      <c r="A1446" s="5" t="s">
        <v>88</v>
      </c>
      <c r="B1446" s="5" t="s">
        <v>83</v>
      </c>
      <c r="C1446" s="5" t="s">
        <v>445</v>
      </c>
      <c r="D1446" s="6" t="n">
        <v>0.121135068349525</v>
      </c>
      <c r="E1446" s="6" t="n">
        <v>0.0411490380690142</v>
      </c>
      <c r="F1446" s="7" t="n">
        <v>0.00324195942937038</v>
      </c>
    </row>
    <row r="1447" customFormat="false" ht="15" hidden="false" customHeight="true" outlineLevel="0" collapsed="false">
      <c r="A1447" s="5" t="s">
        <v>88</v>
      </c>
      <c r="B1447" s="5" t="s">
        <v>83</v>
      </c>
      <c r="C1447" s="5" t="s">
        <v>446</v>
      </c>
      <c r="D1447" s="6" t="n">
        <v>0.121465816555015</v>
      </c>
      <c r="E1447" s="6" t="n">
        <v>0.0411505453366784</v>
      </c>
      <c r="F1447" s="7" t="n">
        <v>0.0031598624418464</v>
      </c>
    </row>
    <row r="1448" customFormat="false" ht="15" hidden="false" customHeight="true" outlineLevel="0" collapsed="false">
      <c r="A1448" s="5" t="s">
        <v>88</v>
      </c>
      <c r="B1448" s="5" t="s">
        <v>83</v>
      </c>
      <c r="C1448" s="5" t="s">
        <v>447</v>
      </c>
      <c r="D1448" s="6" t="n">
        <v>0.123286548589531</v>
      </c>
      <c r="E1448" s="6" t="n">
        <v>0.041137210201662</v>
      </c>
      <c r="F1448" s="7" t="n">
        <v>0.00272687031979127</v>
      </c>
    </row>
    <row r="1449" customFormat="false" ht="15" hidden="false" customHeight="true" outlineLevel="0" collapsed="false">
      <c r="A1449" s="5" t="s">
        <v>88</v>
      </c>
      <c r="B1449" s="5" t="s">
        <v>83</v>
      </c>
      <c r="C1449" s="5" t="s">
        <v>448</v>
      </c>
      <c r="D1449" s="6" t="n">
        <v>0.122660186516348</v>
      </c>
      <c r="E1449" s="6" t="n">
        <v>0.041130270528221</v>
      </c>
      <c r="F1449" s="7" t="n">
        <v>0.0028615102587769</v>
      </c>
    </row>
    <row r="1450" customFormat="false" ht="15" hidden="false" customHeight="true" outlineLevel="0" collapsed="false">
      <c r="A1450" s="5" t="s">
        <v>88</v>
      </c>
      <c r="B1450" s="5" t="s">
        <v>83</v>
      </c>
      <c r="C1450" s="5" t="s">
        <v>449</v>
      </c>
      <c r="D1450" s="6" t="n">
        <v>0.122629810900603</v>
      </c>
      <c r="E1450" s="6" t="n">
        <v>0.0411350211328471</v>
      </c>
      <c r="F1450" s="7" t="n">
        <v>0.00287164843563542</v>
      </c>
    </row>
    <row r="1451" customFormat="false" ht="15" hidden="false" customHeight="true" outlineLevel="0" collapsed="false">
      <c r="A1451" s="5" t="s">
        <v>88</v>
      </c>
      <c r="B1451" s="5" t="s">
        <v>83</v>
      </c>
      <c r="C1451" s="5" t="s">
        <v>450</v>
      </c>
      <c r="D1451" s="6" t="n">
        <v>0.121694999115159</v>
      </c>
      <c r="E1451" s="6" t="n">
        <v>0.0411347673799459</v>
      </c>
      <c r="F1451" s="7" t="n">
        <v>0.00309194138595291</v>
      </c>
    </row>
    <row r="1452" customFormat="false" ht="15" hidden="false" customHeight="true" outlineLevel="0" collapsed="false">
      <c r="A1452" s="5" t="s">
        <v>88</v>
      </c>
      <c r="B1452" s="5" t="s">
        <v>83</v>
      </c>
      <c r="C1452" s="5" t="s">
        <v>451</v>
      </c>
      <c r="D1452" s="6" t="n">
        <v>0.121963099155765</v>
      </c>
      <c r="E1452" s="6" t="n">
        <v>0.041131899106291</v>
      </c>
      <c r="F1452" s="7" t="n">
        <v>0.0030251509033531</v>
      </c>
    </row>
    <row r="1453" customFormat="false" ht="15" hidden="false" customHeight="true" outlineLevel="0" collapsed="false">
      <c r="A1453" s="5" t="s">
        <v>88</v>
      </c>
      <c r="B1453" s="5" t="s">
        <v>83</v>
      </c>
      <c r="C1453" s="5" t="s">
        <v>452</v>
      </c>
      <c r="D1453" s="6" t="n">
        <v>0.119054942402027</v>
      </c>
      <c r="E1453" s="6" t="n">
        <v>0.0409645375898332</v>
      </c>
      <c r="F1453" s="7" t="n">
        <v>0.00365738983523149</v>
      </c>
    </row>
    <row r="1454" customFormat="false" ht="15" hidden="false" customHeight="true" outlineLevel="0" collapsed="false">
      <c r="A1454" s="5" t="s">
        <v>88</v>
      </c>
      <c r="B1454" s="5" t="s">
        <v>83</v>
      </c>
      <c r="C1454" s="5" t="s">
        <v>453</v>
      </c>
      <c r="D1454" s="6" t="n">
        <v>0.120448092743745</v>
      </c>
      <c r="E1454" s="6" t="n">
        <v>0.0411138962665629</v>
      </c>
      <c r="F1454" s="7" t="n">
        <v>0.00339376746902268</v>
      </c>
    </row>
    <row r="1455" customFormat="false" ht="15" hidden="false" customHeight="true" outlineLevel="0" collapsed="false">
      <c r="A1455" s="5" t="s">
        <v>88</v>
      </c>
      <c r="B1455" s="5" t="s">
        <v>83</v>
      </c>
      <c r="C1455" s="5" t="s">
        <v>454</v>
      </c>
      <c r="D1455" s="6" t="n">
        <v>0.121568460139469</v>
      </c>
      <c r="E1455" s="6" t="n">
        <v>0.0411306244800469</v>
      </c>
      <c r="F1455" s="7" t="n">
        <v>0.0031199298719147</v>
      </c>
    </row>
    <row r="1456" customFormat="false" ht="15" hidden="false" customHeight="true" outlineLevel="0" collapsed="false">
      <c r="A1456" s="5" t="s">
        <v>88</v>
      </c>
      <c r="B1456" s="5" t="s">
        <v>83</v>
      </c>
      <c r="C1456" s="5" t="s">
        <v>455</v>
      </c>
      <c r="D1456" s="6" t="n">
        <v>0.121950997228905</v>
      </c>
      <c r="E1456" s="6" t="n">
        <v>0.0411277040974765</v>
      </c>
      <c r="F1456" s="7" t="n">
        <v>0.00302507032703052</v>
      </c>
    </row>
    <row r="1457" customFormat="false" ht="15" hidden="false" customHeight="true" outlineLevel="0" collapsed="false">
      <c r="A1457" s="5" t="s">
        <v>88</v>
      </c>
      <c r="B1457" s="5" t="s">
        <v>83</v>
      </c>
      <c r="C1457" s="5" t="s">
        <v>456</v>
      </c>
      <c r="D1457" s="6" t="n">
        <v>0.121455049327839</v>
      </c>
      <c r="E1457" s="6" t="n">
        <v>0.0411295078920235</v>
      </c>
      <c r="F1457" s="7" t="n">
        <v>0.00314711567423516</v>
      </c>
    </row>
    <row r="1458" customFormat="false" ht="15" hidden="false" customHeight="true" outlineLevel="0" collapsed="false">
      <c r="A1458" s="5" t="s">
        <v>88</v>
      </c>
      <c r="B1458" s="5" t="s">
        <v>83</v>
      </c>
      <c r="C1458" s="5" t="s">
        <v>457</v>
      </c>
      <c r="D1458" s="6" t="n">
        <v>0.121554492695734</v>
      </c>
      <c r="E1458" s="6" t="n">
        <v>0.041133696219848</v>
      </c>
      <c r="F1458" s="7" t="n">
        <v>0.00312560158805381</v>
      </c>
    </row>
    <row r="1459" customFormat="false" ht="15" hidden="false" customHeight="true" outlineLevel="0" collapsed="false">
      <c r="A1459" s="5" t="s">
        <v>88</v>
      </c>
      <c r="B1459" s="5" t="s">
        <v>83</v>
      </c>
      <c r="C1459" s="5" t="s">
        <v>458</v>
      </c>
      <c r="D1459" s="6" t="n">
        <v>0.123024653343447</v>
      </c>
      <c r="E1459" s="6" t="n">
        <v>0.0410864673702683</v>
      </c>
      <c r="F1459" s="7" t="n">
        <v>0.00275087529854009</v>
      </c>
    </row>
    <row r="1460" customFormat="false" ht="15" hidden="false" customHeight="true" outlineLevel="0" collapsed="false">
      <c r="A1460" s="5" t="s">
        <v>88</v>
      </c>
      <c r="B1460" s="5" t="s">
        <v>83</v>
      </c>
      <c r="C1460" s="5" t="s">
        <v>459</v>
      </c>
      <c r="D1460" s="6" t="n">
        <v>0.12214278589789</v>
      </c>
      <c r="E1460" s="6" t="n">
        <v>0.0411307644166578</v>
      </c>
      <c r="F1460" s="7" t="n">
        <v>0.00298167263303501</v>
      </c>
    </row>
    <row r="1461" customFormat="false" ht="15" hidden="false" customHeight="true" outlineLevel="0" collapsed="false">
      <c r="A1461" s="5" t="s">
        <v>88</v>
      </c>
      <c r="B1461" s="5" t="s">
        <v>83</v>
      </c>
      <c r="C1461" s="5" t="s">
        <v>460</v>
      </c>
      <c r="D1461" s="6" t="n">
        <v>0.12400752196131</v>
      </c>
      <c r="E1461" s="6" t="n">
        <v>0.0410406786249911</v>
      </c>
      <c r="F1461" s="7" t="n">
        <v>0.00251462659631889</v>
      </c>
    </row>
    <row r="1462" customFormat="false" ht="15" hidden="false" customHeight="true" outlineLevel="0" collapsed="false">
      <c r="A1462" s="5" t="s">
        <v>88</v>
      </c>
      <c r="B1462" s="5" t="s">
        <v>83</v>
      </c>
      <c r="C1462" s="5" t="s">
        <v>461</v>
      </c>
      <c r="D1462" s="6" t="n">
        <v>0.122983534778182</v>
      </c>
      <c r="E1462" s="6" t="n">
        <v>0.0411842039144521</v>
      </c>
      <c r="F1462" s="7" t="n">
        <v>0.0028248432359414</v>
      </c>
    </row>
    <row r="1463" customFormat="false" ht="15" hidden="false" customHeight="true" outlineLevel="0" collapsed="false">
      <c r="A1463" s="5" t="s">
        <v>88</v>
      </c>
      <c r="B1463" s="5" t="s">
        <v>83</v>
      </c>
      <c r="C1463" s="5" t="s">
        <v>462</v>
      </c>
      <c r="D1463" s="6" t="n">
        <v>0.120286331579677</v>
      </c>
      <c r="E1463" s="6" t="n">
        <v>0.0410833992293851</v>
      </c>
      <c r="F1463" s="7" t="n">
        <v>0.00341306619263069</v>
      </c>
    </row>
    <row r="1464" customFormat="false" ht="15" hidden="false" customHeight="true" outlineLevel="0" collapsed="false">
      <c r="A1464" s="5" t="s">
        <v>88</v>
      </c>
      <c r="B1464" s="5" t="s">
        <v>83</v>
      </c>
      <c r="C1464" s="5" t="s">
        <v>463</v>
      </c>
      <c r="D1464" s="6" t="n">
        <v>0.124284139850581</v>
      </c>
      <c r="E1464" s="6" t="n">
        <v>0.0410077145759059</v>
      </c>
      <c r="F1464" s="7" t="n">
        <v>0.00243946965624276</v>
      </c>
    </row>
    <row r="1465" customFormat="false" ht="15" hidden="false" customHeight="true" outlineLevel="0" collapsed="false">
      <c r="A1465" s="5" t="s">
        <v>88</v>
      </c>
      <c r="B1465" s="5" t="s">
        <v>83</v>
      </c>
      <c r="C1465" s="5" t="s">
        <v>464</v>
      </c>
      <c r="D1465" s="6" t="n">
        <v>0.122552757182792</v>
      </c>
      <c r="E1465" s="6" t="n">
        <v>0.0411569167215873</v>
      </c>
      <c r="F1465" s="7" t="n">
        <v>0.00290424556014882</v>
      </c>
    </row>
    <row r="1466" customFormat="false" ht="15" hidden="false" customHeight="true" outlineLevel="0" collapsed="false">
      <c r="A1466" s="5" t="s">
        <v>88</v>
      </c>
      <c r="B1466" s="5" t="s">
        <v>83</v>
      </c>
      <c r="C1466" s="5" t="s">
        <v>465</v>
      </c>
      <c r="D1466" s="6" t="n">
        <v>0.121190478058131</v>
      </c>
      <c r="E1466" s="6" t="n">
        <v>0.041141546799852</v>
      </c>
      <c r="F1466" s="7" t="n">
        <v>0.00322229221662029</v>
      </c>
    </row>
    <row r="1467" customFormat="false" ht="15" hidden="false" customHeight="true" outlineLevel="0" collapsed="false">
      <c r="A1467" s="5" t="s">
        <v>88</v>
      </c>
      <c r="B1467" s="5" t="s">
        <v>83</v>
      </c>
      <c r="C1467" s="5" t="s">
        <v>466</v>
      </c>
      <c r="D1467" s="6" t="n">
        <v>0.121536564635141</v>
      </c>
      <c r="E1467" s="6" t="n">
        <v>0.0411406234735598</v>
      </c>
      <c r="F1467" s="7" t="n">
        <v>0.00313507078710609</v>
      </c>
    </row>
    <row r="1468" customFormat="false" ht="15" hidden="false" customHeight="true" outlineLevel="0" collapsed="false">
      <c r="A1468" s="5" t="s">
        <v>88</v>
      </c>
      <c r="B1468" s="5" t="s">
        <v>83</v>
      </c>
      <c r="C1468" s="5" t="s">
        <v>467</v>
      </c>
      <c r="D1468" s="6" t="n">
        <v>0.121833774259832</v>
      </c>
      <c r="E1468" s="6" t="n">
        <v>0.0411312361932464</v>
      </c>
      <c r="F1468" s="7" t="n">
        <v>0.00305574117575276</v>
      </c>
    </row>
    <row r="1469" customFormat="false" ht="15" hidden="false" customHeight="true" outlineLevel="0" collapsed="false">
      <c r="A1469" s="5" t="s">
        <v>88</v>
      </c>
      <c r="B1469" s="5" t="s">
        <v>83</v>
      </c>
      <c r="C1469" s="5" t="s">
        <v>468</v>
      </c>
      <c r="D1469" s="6" t="n">
        <v>0.121318647259071</v>
      </c>
      <c r="E1469" s="6" t="n">
        <v>0.0411333403592975</v>
      </c>
      <c r="F1469" s="7" t="n">
        <v>0.00318392264047888</v>
      </c>
    </row>
    <row r="1470" customFormat="false" ht="15" hidden="false" customHeight="true" outlineLevel="0" collapsed="false">
      <c r="A1470" s="5" t="s">
        <v>88</v>
      </c>
      <c r="B1470" s="5" t="s">
        <v>83</v>
      </c>
      <c r="C1470" s="5" t="s">
        <v>469</v>
      </c>
      <c r="D1470" s="6" t="n">
        <v>0.123535953563818</v>
      </c>
      <c r="E1470" s="6" t="n">
        <v>0.0410868513641444</v>
      </c>
      <c r="F1470" s="7" t="n">
        <v>0.0026409777329365</v>
      </c>
    </row>
    <row r="1471" customFormat="false" ht="15" hidden="false" customHeight="true" outlineLevel="0" collapsed="false">
      <c r="A1471" s="5" t="s">
        <v>88</v>
      </c>
      <c r="B1471" s="5" t="s">
        <v>83</v>
      </c>
      <c r="C1471" s="5" t="s">
        <v>470</v>
      </c>
      <c r="D1471" s="6" t="n">
        <v>0.120936519554454</v>
      </c>
      <c r="E1471" s="6" t="n">
        <v>0.0411222102745413</v>
      </c>
      <c r="F1471" s="7" t="n">
        <v>0.00327254735272545</v>
      </c>
    </row>
    <row r="1472" customFormat="false" ht="15" hidden="false" customHeight="true" outlineLevel="0" collapsed="false">
      <c r="A1472" s="5" t="s">
        <v>88</v>
      </c>
      <c r="B1472" s="5" t="s">
        <v>83</v>
      </c>
      <c r="C1472" s="5" t="s">
        <v>471</v>
      </c>
      <c r="D1472" s="6" t="n">
        <v>0.119407909418214</v>
      </c>
      <c r="E1472" s="6" t="n">
        <v>0.0409977814410908</v>
      </c>
      <c r="F1472" s="7" t="n">
        <v>0.00358495812367381</v>
      </c>
    </row>
    <row r="1473" customFormat="false" ht="15" hidden="false" customHeight="true" outlineLevel="0" collapsed="false">
      <c r="A1473" s="5" t="s">
        <v>88</v>
      </c>
      <c r="B1473" s="5" t="s">
        <v>83</v>
      </c>
      <c r="C1473" s="5" t="s">
        <v>472</v>
      </c>
      <c r="D1473" s="6" t="n">
        <v>0.122394525160277</v>
      </c>
      <c r="E1473" s="6" t="n">
        <v>0.0411454589732608</v>
      </c>
      <c r="F1473" s="7" t="n">
        <v>0.00293295459506155</v>
      </c>
    </row>
    <row r="1474" customFormat="false" ht="15" hidden="false" customHeight="true" outlineLevel="0" collapsed="false">
      <c r="A1474" s="5" t="s">
        <v>88</v>
      </c>
      <c r="B1474" s="5" t="s">
        <v>83</v>
      </c>
      <c r="C1474" s="5" t="s">
        <v>473</v>
      </c>
      <c r="D1474" s="6" t="n">
        <v>0.121803897978904</v>
      </c>
      <c r="E1474" s="6" t="n">
        <v>0.0411424440958074</v>
      </c>
      <c r="F1474" s="7" t="n">
        <v>0.00307099112313983</v>
      </c>
    </row>
    <row r="1475" customFormat="false" ht="15" hidden="false" customHeight="true" outlineLevel="0" collapsed="false">
      <c r="A1475" s="5" t="s">
        <v>88</v>
      </c>
      <c r="B1475" s="5" t="s">
        <v>83</v>
      </c>
      <c r="C1475" s="5" t="s">
        <v>474</v>
      </c>
      <c r="D1475" s="6" t="n">
        <v>0.118959574686951</v>
      </c>
      <c r="E1475" s="6" t="n">
        <v>0.0411750673444606</v>
      </c>
      <c r="F1475" s="7" t="n">
        <v>0.00386325671542664</v>
      </c>
    </row>
    <row r="1476" customFormat="false" ht="15" hidden="false" customHeight="true" outlineLevel="0" collapsed="false">
      <c r="A1476" s="5" t="s">
        <v>88</v>
      </c>
      <c r="B1476" s="5" t="s">
        <v>83</v>
      </c>
      <c r="C1476" s="5" t="s">
        <v>475</v>
      </c>
      <c r="D1476" s="6" t="n">
        <v>0.121553506962453</v>
      </c>
      <c r="E1476" s="6" t="n">
        <v>0.041209009184334</v>
      </c>
      <c r="F1476" s="7" t="n">
        <v>0.00318100297162286</v>
      </c>
    </row>
    <row r="1477" customFormat="false" ht="15" hidden="false" customHeight="true" outlineLevel="0" collapsed="false">
      <c r="A1477" s="5" t="s">
        <v>88</v>
      </c>
      <c r="B1477" s="5" t="s">
        <v>83</v>
      </c>
      <c r="C1477" s="5" t="s">
        <v>476</v>
      </c>
      <c r="D1477" s="6" t="n">
        <v>0.121775611286765</v>
      </c>
      <c r="E1477" s="6" t="n">
        <v>0.0411497639920454</v>
      </c>
      <c r="F1477" s="7" t="n">
        <v>0.00308311667328512</v>
      </c>
    </row>
    <row r="1478" customFormat="false" ht="15" hidden="false" customHeight="true" outlineLevel="0" collapsed="false">
      <c r="A1478" s="5" t="s">
        <v>88</v>
      </c>
      <c r="B1478" s="5" t="s">
        <v>83</v>
      </c>
      <c r="C1478" s="5" t="s">
        <v>477</v>
      </c>
      <c r="D1478" s="6" t="n">
        <v>0.12369693739472</v>
      </c>
      <c r="E1478" s="6" t="n">
        <v>0.0410301685069632</v>
      </c>
      <c r="F1478" s="7" t="n">
        <v>0.00257165593684943</v>
      </c>
    </row>
    <row r="1479" customFormat="false" ht="15" hidden="false" customHeight="true" outlineLevel="0" collapsed="false">
      <c r="A1479" s="5" t="s">
        <v>88</v>
      </c>
      <c r="B1479" s="5" t="s">
        <v>83</v>
      </c>
      <c r="C1479" s="5" t="s">
        <v>478</v>
      </c>
      <c r="D1479" s="6" t="n">
        <v>0.120679469183836</v>
      </c>
      <c r="E1479" s="6" t="n">
        <v>0.0410928413244428</v>
      </c>
      <c r="F1479" s="7" t="n">
        <v>0.00331669609184046</v>
      </c>
    </row>
    <row r="1480" customFormat="false" ht="15" hidden="false" customHeight="true" outlineLevel="0" collapsed="false">
      <c r="A1480" s="5" t="s">
        <v>88</v>
      </c>
      <c r="B1480" s="5" t="s">
        <v>83</v>
      </c>
      <c r="C1480" s="5" t="s">
        <v>479</v>
      </c>
      <c r="D1480" s="6" t="n">
        <v>0.120847920439918</v>
      </c>
      <c r="E1480" s="6" t="n">
        <v>0.0411209409185937</v>
      </c>
      <c r="F1480" s="7" t="n">
        <v>0.00329441689070577</v>
      </c>
    </row>
    <row r="1481" customFormat="false" ht="15" hidden="false" customHeight="true" outlineLevel="0" collapsed="false">
      <c r="A1481" s="5" t="s">
        <v>88</v>
      </c>
      <c r="B1481" s="5" t="s">
        <v>83</v>
      </c>
      <c r="C1481" s="5" t="s">
        <v>480</v>
      </c>
      <c r="D1481" s="6" t="n">
        <v>0.122470607340437</v>
      </c>
      <c r="E1481" s="6" t="n">
        <v>0.0411381567738785</v>
      </c>
      <c r="F1481" s="7" t="n">
        <v>0.00291030594801108</v>
      </c>
    </row>
    <row r="1482" customFormat="false" ht="15" hidden="false" customHeight="true" outlineLevel="0" collapsed="false">
      <c r="A1482" s="5" t="s">
        <v>88</v>
      </c>
      <c r="B1482" s="5" t="s">
        <v>83</v>
      </c>
      <c r="C1482" s="5" t="s">
        <v>481</v>
      </c>
      <c r="D1482" s="6" t="n">
        <v>0.124053514832908</v>
      </c>
      <c r="E1482" s="6" t="n">
        <v>0.0409944047286038</v>
      </c>
      <c r="F1482" s="7" t="n">
        <v>0.00247723427977767</v>
      </c>
    </row>
    <row r="1483" customFormat="false" ht="15" hidden="false" customHeight="true" outlineLevel="0" collapsed="false">
      <c r="A1483" s="5" t="s">
        <v>88</v>
      </c>
      <c r="B1483" s="5" t="s">
        <v>83</v>
      </c>
      <c r="C1483" s="5" t="s">
        <v>482</v>
      </c>
      <c r="D1483" s="6" t="n">
        <v>0.122529072744179</v>
      </c>
      <c r="E1483" s="6" t="n">
        <v>0.0411257003205266</v>
      </c>
      <c r="F1483" s="7" t="n">
        <v>0.00288832710570446</v>
      </c>
    </row>
    <row r="1484" customFormat="false" ht="15" hidden="false" customHeight="true" outlineLevel="0" collapsed="false">
      <c r="A1484" s="5" t="s">
        <v>88</v>
      </c>
      <c r="B1484" s="5" t="s">
        <v>83</v>
      </c>
      <c r="C1484" s="5" t="s">
        <v>483</v>
      </c>
      <c r="D1484" s="6" t="n">
        <v>0.121351423693516</v>
      </c>
      <c r="E1484" s="6" t="n">
        <v>0.0411424290969307</v>
      </c>
      <c r="F1484" s="7" t="n">
        <v>0.00318242783157191</v>
      </c>
    </row>
    <row r="1485" customFormat="false" ht="15" hidden="false" customHeight="true" outlineLevel="0" collapsed="false">
      <c r="A1485" s="5" t="s">
        <v>88</v>
      </c>
      <c r="B1485" s="5" t="s">
        <v>83</v>
      </c>
      <c r="C1485" s="5" t="s">
        <v>484</v>
      </c>
      <c r="D1485" s="6" t="n">
        <v>0.122451153550816</v>
      </c>
      <c r="E1485" s="6" t="n">
        <v>0.0411042353093694</v>
      </c>
      <c r="F1485" s="7" t="n">
        <v>0.00289153203165034</v>
      </c>
    </row>
    <row r="1486" customFormat="false" ht="15" hidden="false" customHeight="true" outlineLevel="0" collapsed="false">
      <c r="A1486" s="5" t="s">
        <v>88</v>
      </c>
      <c r="B1486" s="5" t="s">
        <v>83</v>
      </c>
      <c r="C1486" s="5" t="s">
        <v>485</v>
      </c>
      <c r="D1486" s="6" t="n">
        <v>0.120308149878852</v>
      </c>
      <c r="E1486" s="6" t="n">
        <v>0.0411133730718597</v>
      </c>
      <c r="F1486" s="7" t="n">
        <v>0.00343071313555118</v>
      </c>
    </row>
    <row r="1487" customFormat="false" ht="15" hidden="false" customHeight="true" outlineLevel="0" collapsed="false">
      <c r="A1487" s="5" t="s">
        <v>88</v>
      </c>
      <c r="B1487" s="5" t="s">
        <v>83</v>
      </c>
      <c r="C1487" s="5" t="s">
        <v>781</v>
      </c>
      <c r="D1487" s="6" t="n">
        <v>0.119328591484516</v>
      </c>
      <c r="E1487" s="6" t="n">
        <v>0.0410115650122185</v>
      </c>
      <c r="F1487" s="7" t="n">
        <v>0.00361853712311103</v>
      </c>
    </row>
    <row r="1488" customFormat="false" ht="15" hidden="false" customHeight="true" outlineLevel="0" collapsed="false">
      <c r="A1488" s="5" t="s">
        <v>88</v>
      </c>
      <c r="B1488" s="5" t="s">
        <v>83</v>
      </c>
      <c r="C1488" s="5" t="s">
        <v>486</v>
      </c>
      <c r="D1488" s="6" t="n">
        <v>0.123127067594804</v>
      </c>
      <c r="E1488" s="6" t="n">
        <v>0.0411696135527653</v>
      </c>
      <c r="F1488" s="7" t="n">
        <v>0.00278314346313179</v>
      </c>
    </row>
    <row r="1489" customFormat="false" ht="15" hidden="false" customHeight="true" outlineLevel="0" collapsed="false">
      <c r="A1489" s="5" t="s">
        <v>88</v>
      </c>
      <c r="B1489" s="5" t="s">
        <v>83</v>
      </c>
      <c r="C1489" s="5" t="s">
        <v>200</v>
      </c>
      <c r="D1489" s="6" t="n">
        <v>0.119463321254008</v>
      </c>
      <c r="E1489" s="6" t="n">
        <v>0.0422650989419261</v>
      </c>
      <c r="F1489" s="7" t="n">
        <v>0.00470562012575776</v>
      </c>
    </row>
    <row r="1490" customFormat="false" ht="15" hidden="false" customHeight="true" outlineLevel="0" collapsed="false">
      <c r="A1490" s="5" t="s">
        <v>88</v>
      </c>
      <c r="B1490" s="5" t="s">
        <v>83</v>
      </c>
      <c r="C1490" s="5" t="s">
        <v>487</v>
      </c>
      <c r="D1490" s="6" t="n">
        <v>0.122836137914419</v>
      </c>
      <c r="E1490" s="6" t="n">
        <v>0.0411212898927139</v>
      </c>
      <c r="F1490" s="7" t="n">
        <v>0.00281576361518099</v>
      </c>
    </row>
    <row r="1491" customFormat="false" ht="15" hidden="false" customHeight="true" outlineLevel="0" collapsed="false">
      <c r="A1491" s="5" t="s">
        <v>88</v>
      </c>
      <c r="B1491" s="5" t="s">
        <v>83</v>
      </c>
      <c r="C1491" s="5" t="s">
        <v>782</v>
      </c>
      <c r="D1491" s="6" t="n">
        <v>0.121327938403743</v>
      </c>
      <c r="E1491" s="6" t="n">
        <v>0.0411290399200258</v>
      </c>
      <c r="F1491" s="7" t="n">
        <v>0.00317842190215929</v>
      </c>
    </row>
    <row r="1492" customFormat="false" ht="15" hidden="false" customHeight="true" outlineLevel="0" collapsed="false">
      <c r="A1492" s="5" t="s">
        <v>88</v>
      </c>
      <c r="B1492" s="5" t="s">
        <v>83</v>
      </c>
      <c r="C1492" s="5" t="s">
        <v>488</v>
      </c>
      <c r="D1492" s="6" t="n">
        <v>0.124200849132432</v>
      </c>
      <c r="E1492" s="6" t="n">
        <v>0.0412756315677909</v>
      </c>
      <c r="F1492" s="7" t="n">
        <v>0.0026205741555958</v>
      </c>
    </row>
    <row r="1493" customFormat="false" ht="15" hidden="false" customHeight="true" outlineLevel="0" collapsed="false">
      <c r="A1493" s="5" t="s">
        <v>88</v>
      </c>
      <c r="B1493" s="5" t="s">
        <v>83</v>
      </c>
      <c r="C1493" s="5" t="s">
        <v>489</v>
      </c>
      <c r="D1493" s="6" t="n">
        <v>0.124324951139181</v>
      </c>
      <c r="E1493" s="6" t="n">
        <v>0.0409759199162785</v>
      </c>
      <c r="F1493" s="7" t="n">
        <v>0.00241256153870467</v>
      </c>
    </row>
    <row r="1494" customFormat="false" ht="15" hidden="false" customHeight="true" outlineLevel="0" collapsed="false">
      <c r="A1494" s="5" t="s">
        <v>88</v>
      </c>
      <c r="B1494" s="5" t="s">
        <v>83</v>
      </c>
      <c r="C1494" s="5" t="s">
        <v>490</v>
      </c>
      <c r="D1494" s="6" t="n">
        <v>0.122570419263985</v>
      </c>
      <c r="E1494" s="6" t="n">
        <v>0.041117104040385</v>
      </c>
      <c r="F1494" s="7" t="n">
        <v>0.00287301214744691</v>
      </c>
    </row>
    <row r="1495" customFormat="false" ht="15" hidden="false" customHeight="true" outlineLevel="0" collapsed="false">
      <c r="A1495" s="5" t="s">
        <v>88</v>
      </c>
      <c r="B1495" s="5" t="s">
        <v>83</v>
      </c>
      <c r="C1495" s="5" t="s">
        <v>491</v>
      </c>
      <c r="D1495" s="6" t="n">
        <v>0.121611504940647</v>
      </c>
      <c r="E1495" s="6" t="n">
        <v>0.0411318779704227</v>
      </c>
      <c r="F1495" s="7" t="n">
        <v>0.00311026961176249</v>
      </c>
    </row>
    <row r="1496" customFormat="false" ht="15" hidden="false" customHeight="true" outlineLevel="0" collapsed="false">
      <c r="A1496" s="5" t="s">
        <v>88</v>
      </c>
      <c r="B1496" s="5" t="s">
        <v>83</v>
      </c>
      <c r="C1496" s="5" t="s">
        <v>492</v>
      </c>
      <c r="D1496" s="6" t="n">
        <v>0.120537439204019</v>
      </c>
      <c r="E1496" s="6" t="n">
        <v>0.0411040586547611</v>
      </c>
      <c r="F1496" s="7" t="n">
        <v>0.00336250528654587</v>
      </c>
    </row>
    <row r="1497" customFormat="false" ht="15" hidden="false" customHeight="true" outlineLevel="0" collapsed="false">
      <c r="A1497" s="5" t="s">
        <v>88</v>
      </c>
      <c r="B1497" s="5" t="s">
        <v>83</v>
      </c>
      <c r="C1497" s="5" t="s">
        <v>493</v>
      </c>
      <c r="D1497" s="6" t="n">
        <v>0.120293044703575</v>
      </c>
      <c r="E1497" s="6" t="n">
        <v>0.0410931235405582</v>
      </c>
      <c r="F1497" s="7" t="n">
        <v>0.0034188828050935</v>
      </c>
    </row>
    <row r="1498" customFormat="false" ht="15" hidden="false" customHeight="true" outlineLevel="0" collapsed="false">
      <c r="A1498" s="5" t="s">
        <v>88</v>
      </c>
      <c r="B1498" s="5" t="s">
        <v>83</v>
      </c>
      <c r="C1498" s="5" t="s">
        <v>494</v>
      </c>
      <c r="D1498" s="6" t="n">
        <v>0.121255560918434</v>
      </c>
      <c r="E1498" s="6" t="n">
        <v>0.0411508379799957</v>
      </c>
      <c r="F1498" s="7" t="n">
        <v>0.00321275848412127</v>
      </c>
    </row>
    <row r="1499" customFormat="false" ht="15" hidden="false" customHeight="true" outlineLevel="0" collapsed="false">
      <c r="A1499" s="5" t="s">
        <v>88</v>
      </c>
      <c r="B1499" s="5" t="s">
        <v>83</v>
      </c>
      <c r="C1499" s="5" t="s">
        <v>495</v>
      </c>
      <c r="D1499" s="6" t="n">
        <v>0.118883758670688</v>
      </c>
      <c r="E1499" s="6" t="n">
        <v>0.0410682984095978</v>
      </c>
      <c r="F1499" s="7" t="n">
        <v>0.0037942229651383</v>
      </c>
    </row>
    <row r="1500" customFormat="false" ht="15" hidden="false" customHeight="true" outlineLevel="0" collapsed="false">
      <c r="A1500" s="5" t="s">
        <v>88</v>
      </c>
      <c r="B1500" s="5" t="s">
        <v>83</v>
      </c>
      <c r="C1500" s="5" t="s">
        <v>496</v>
      </c>
      <c r="D1500" s="6" t="n">
        <v>0.122111090820369</v>
      </c>
      <c r="E1500" s="6" t="n">
        <v>0.0411508815725559</v>
      </c>
      <c r="F1500" s="7" t="n">
        <v>0.00300330794533999</v>
      </c>
    </row>
    <row r="1501" customFormat="false" ht="15" hidden="false" customHeight="true" outlineLevel="0" collapsed="false">
      <c r="A1501" s="5" t="s">
        <v>88</v>
      </c>
      <c r="B1501" s="5" t="s">
        <v>83</v>
      </c>
      <c r="C1501" s="5" t="s">
        <v>497</v>
      </c>
      <c r="D1501" s="6" t="n">
        <v>0.122822737430028</v>
      </c>
      <c r="E1501" s="6" t="n">
        <v>0.0411010595696025</v>
      </c>
      <c r="F1501" s="7" t="n">
        <v>0.00280524187674569</v>
      </c>
    </row>
    <row r="1502" customFormat="false" ht="15" hidden="false" customHeight="true" outlineLevel="0" collapsed="false">
      <c r="A1502" s="5" t="s">
        <v>88</v>
      </c>
      <c r="B1502" s="5" t="s">
        <v>83</v>
      </c>
      <c r="C1502" s="5" t="s">
        <v>498</v>
      </c>
      <c r="D1502" s="6" t="n">
        <v>0.120893981754441</v>
      </c>
      <c r="E1502" s="6" t="n">
        <v>0.0411364017183282</v>
      </c>
      <c r="F1502" s="7" t="n">
        <v>0.00329425554180169</v>
      </c>
    </row>
    <row r="1503" customFormat="false" ht="15" hidden="false" customHeight="true" outlineLevel="0" collapsed="false">
      <c r="A1503" s="5" t="s">
        <v>88</v>
      </c>
      <c r="B1503" s="5" t="s">
        <v>83</v>
      </c>
      <c r="C1503" s="5" t="s">
        <v>499</v>
      </c>
      <c r="D1503" s="6" t="n">
        <v>0.118377435229012</v>
      </c>
      <c r="E1503" s="6" t="n">
        <v>0.0409690506330632</v>
      </c>
      <c r="F1503" s="7" t="n">
        <v>0.00385933994221334</v>
      </c>
    </row>
    <row r="1504" customFormat="false" ht="15" hidden="false" customHeight="true" outlineLevel="0" collapsed="false">
      <c r="A1504" s="5" t="s">
        <v>88</v>
      </c>
      <c r="B1504" s="5" t="s">
        <v>83</v>
      </c>
      <c r="C1504" s="5" t="s">
        <v>500</v>
      </c>
      <c r="D1504" s="6" t="n">
        <v>0.121664270762787</v>
      </c>
      <c r="E1504" s="6" t="n">
        <v>0.0411322739548717</v>
      </c>
      <c r="F1504" s="7" t="n">
        <v>0.00309764145237547</v>
      </c>
    </row>
    <row r="1505" customFormat="false" ht="15" hidden="false" customHeight="true" outlineLevel="0" collapsed="false">
      <c r="A1505" s="5" t="s">
        <v>88</v>
      </c>
      <c r="B1505" s="5" t="s">
        <v>83</v>
      </c>
      <c r="C1505" s="5" t="s">
        <v>501</v>
      </c>
      <c r="D1505" s="6" t="n">
        <v>0.120998894636642</v>
      </c>
      <c r="E1505" s="6" t="n">
        <v>0.0412191750492537</v>
      </c>
      <c r="F1505" s="7" t="n">
        <v>0.00333010447839265</v>
      </c>
    </row>
    <row r="1506" customFormat="false" ht="15" hidden="false" customHeight="true" outlineLevel="0" collapsed="false">
      <c r="A1506" s="5" t="s">
        <v>88</v>
      </c>
      <c r="B1506" s="5" t="s">
        <v>83</v>
      </c>
      <c r="C1506" s="5" t="s">
        <v>502</v>
      </c>
      <c r="D1506" s="6" t="n">
        <v>0.120755939886143</v>
      </c>
      <c r="E1506" s="6" t="n">
        <v>0.0411373613871828</v>
      </c>
      <c r="F1506" s="7" t="n">
        <v>0.00333083271481744</v>
      </c>
    </row>
    <row r="1507" customFormat="false" ht="15" hidden="false" customHeight="true" outlineLevel="0" collapsed="false">
      <c r="A1507" s="5" t="s">
        <v>88</v>
      </c>
      <c r="B1507" s="5" t="s">
        <v>83</v>
      </c>
      <c r="C1507" s="5" t="s">
        <v>503</v>
      </c>
      <c r="D1507" s="6" t="n">
        <v>0.120852468031639</v>
      </c>
      <c r="E1507" s="6" t="n">
        <v>0.0411230422576936</v>
      </c>
      <c r="F1507" s="7" t="n">
        <v>0.00329483767143923</v>
      </c>
    </row>
    <row r="1508" customFormat="false" ht="15" hidden="false" customHeight="true" outlineLevel="0" collapsed="false">
      <c r="A1508" s="5" t="s">
        <v>88</v>
      </c>
      <c r="B1508" s="5" t="s">
        <v>83</v>
      </c>
      <c r="C1508" s="5" t="s">
        <v>504</v>
      </c>
      <c r="D1508" s="6" t="n">
        <v>0.124361607216388</v>
      </c>
      <c r="E1508" s="6" t="n">
        <v>0.0409823741455716</v>
      </c>
      <c r="F1508" s="7" t="n">
        <v>0.00240923200718446</v>
      </c>
    </row>
    <row r="1509" customFormat="false" ht="15" hidden="false" customHeight="true" outlineLevel="0" collapsed="false">
      <c r="A1509" s="5" t="s">
        <v>88</v>
      </c>
      <c r="B1509" s="5" t="s">
        <v>83</v>
      </c>
      <c r="C1509" s="5" t="s">
        <v>505</v>
      </c>
      <c r="D1509" s="6" t="n">
        <v>0.122615290494065</v>
      </c>
      <c r="E1509" s="6" t="n">
        <v>0.0411513945858961</v>
      </c>
      <c r="F1509" s="7" t="n">
        <v>0.00288611378679234</v>
      </c>
    </row>
    <row r="1510" customFormat="false" ht="15" hidden="false" customHeight="true" outlineLevel="0" collapsed="false">
      <c r="A1510" s="5" t="s">
        <v>88</v>
      </c>
      <c r="B1510" s="5" t="s">
        <v>83</v>
      </c>
      <c r="C1510" s="5" t="s">
        <v>506</v>
      </c>
      <c r="D1510" s="6" t="n">
        <v>0.118957020360092</v>
      </c>
      <c r="E1510" s="6" t="n">
        <v>0.0409807564708542</v>
      </c>
      <c r="F1510" s="7" t="n">
        <v>0.00369898058838296</v>
      </c>
    </row>
    <row r="1511" customFormat="false" ht="15" hidden="false" customHeight="true" outlineLevel="0" collapsed="false">
      <c r="A1511" s="5" t="s">
        <v>88</v>
      </c>
      <c r="B1511" s="5" t="s">
        <v>83</v>
      </c>
      <c r="C1511" s="5" t="s">
        <v>507</v>
      </c>
      <c r="D1511" s="6" t="n">
        <v>0.123140359814107</v>
      </c>
      <c r="E1511" s="6" t="n">
        <v>0.0412022964030459</v>
      </c>
      <c r="F1511" s="7" t="n">
        <v>0.00280188065890892</v>
      </c>
    </row>
    <row r="1512" customFormat="false" ht="15" hidden="false" customHeight="true" outlineLevel="0" collapsed="false">
      <c r="A1512" s="5" t="s">
        <v>88</v>
      </c>
      <c r="B1512" s="5" t="s">
        <v>83</v>
      </c>
      <c r="C1512" s="5" t="s">
        <v>508</v>
      </c>
      <c r="D1512" s="6" t="n">
        <v>0.122465431669481</v>
      </c>
      <c r="E1512" s="6" t="n">
        <v>0.0411290925893516</v>
      </c>
      <c r="F1512" s="7" t="n">
        <v>0.00290527632086091</v>
      </c>
    </row>
    <row r="1513" customFormat="false" ht="15" hidden="false" customHeight="true" outlineLevel="0" collapsed="false">
      <c r="A1513" s="5" t="s">
        <v>88</v>
      </c>
      <c r="B1513" s="5" t="s">
        <v>83</v>
      </c>
      <c r="C1513" s="5" t="s">
        <v>509</v>
      </c>
      <c r="D1513" s="6" t="n">
        <v>0.121571067182834</v>
      </c>
      <c r="E1513" s="6" t="n">
        <v>0.041131862195124</v>
      </c>
      <c r="F1513" s="7" t="n">
        <v>0.00312018838595915</v>
      </c>
    </row>
    <row r="1514" customFormat="false" ht="15" hidden="false" customHeight="true" outlineLevel="0" collapsed="false">
      <c r="A1514" s="5" t="s">
        <v>88</v>
      </c>
      <c r="B1514" s="5" t="s">
        <v>83</v>
      </c>
      <c r="C1514" s="5" t="s">
        <v>510</v>
      </c>
      <c r="D1514" s="6" t="n">
        <v>0.120301991085233</v>
      </c>
      <c r="E1514" s="6" t="n">
        <v>0.041095634508642</v>
      </c>
      <c r="F1514" s="7" t="n">
        <v>0.00341845588001516</v>
      </c>
    </row>
    <row r="1515" customFormat="false" ht="15" hidden="false" customHeight="true" outlineLevel="0" collapsed="false">
      <c r="A1515" s="5" t="s">
        <v>88</v>
      </c>
      <c r="B1515" s="5" t="s">
        <v>83</v>
      </c>
      <c r="C1515" s="5" t="s">
        <v>511</v>
      </c>
      <c r="D1515" s="6" t="n">
        <v>0.120810978722515</v>
      </c>
      <c r="E1515" s="6" t="n">
        <v>0.0411416148944225</v>
      </c>
      <c r="F1515" s="7" t="n">
        <v>0.00331974548732482</v>
      </c>
    </row>
    <row r="1516" customFormat="false" ht="15" hidden="false" customHeight="true" outlineLevel="0" collapsed="false">
      <c r="A1516" s="5" t="s">
        <v>88</v>
      </c>
      <c r="B1516" s="5" t="s">
        <v>83</v>
      </c>
      <c r="C1516" s="5" t="s">
        <v>512</v>
      </c>
      <c r="D1516" s="6" t="n">
        <v>0.122905848682916</v>
      </c>
      <c r="E1516" s="6" t="n">
        <v>0.0411056212100454</v>
      </c>
      <c r="F1516" s="7" t="n">
        <v>0.00278976530243299</v>
      </c>
    </row>
    <row r="1517" customFormat="false" ht="15" hidden="false" customHeight="true" outlineLevel="0" collapsed="false">
      <c r="A1517" s="5" t="s">
        <v>88</v>
      </c>
      <c r="B1517" s="5" t="s">
        <v>83</v>
      </c>
      <c r="C1517" s="5" t="s">
        <v>513</v>
      </c>
      <c r="D1517" s="6" t="n">
        <v>0.122033316267783</v>
      </c>
      <c r="E1517" s="6" t="n">
        <v>0.0411385515029198</v>
      </c>
      <c r="F1517" s="7" t="n">
        <v>0.00301310303356128</v>
      </c>
    </row>
    <row r="1518" customFormat="false" ht="15" hidden="false" customHeight="true" outlineLevel="0" collapsed="false">
      <c r="A1518" s="5" t="s">
        <v>88</v>
      </c>
      <c r="B1518" s="5" t="s">
        <v>83</v>
      </c>
      <c r="C1518" s="5" t="s">
        <v>514</v>
      </c>
      <c r="D1518" s="6" t="n">
        <v>0.119252755241226</v>
      </c>
      <c r="E1518" s="6" t="n">
        <v>0.0411633949813208</v>
      </c>
      <c r="F1518" s="7" t="n">
        <v>0.00376679744122789</v>
      </c>
    </row>
    <row r="1519" customFormat="false" ht="15" hidden="false" customHeight="true" outlineLevel="0" collapsed="false">
      <c r="A1519" s="5" t="s">
        <v>88</v>
      </c>
      <c r="B1519" s="5" t="s">
        <v>83</v>
      </c>
      <c r="C1519" s="5" t="s">
        <v>515</v>
      </c>
      <c r="D1519" s="6" t="n">
        <v>0.121421279002082</v>
      </c>
      <c r="E1519" s="6" t="n">
        <v>0.0411479824076038</v>
      </c>
      <c r="F1519" s="7" t="n">
        <v>0.00316906881632111</v>
      </c>
    </row>
    <row r="1520" customFormat="false" ht="15" hidden="false" customHeight="true" outlineLevel="0" collapsed="false">
      <c r="A1520" s="5" t="s">
        <v>88</v>
      </c>
      <c r="B1520" s="5" t="s">
        <v>83</v>
      </c>
      <c r="C1520" s="5" t="s">
        <v>516</v>
      </c>
      <c r="D1520" s="6" t="n">
        <v>0.122715831406414</v>
      </c>
      <c r="E1520" s="6" t="n">
        <v>0.0411258459308624</v>
      </c>
      <c r="F1520" s="7" t="n">
        <v>0.00284590276399843</v>
      </c>
    </row>
    <row r="1521" customFormat="false" ht="15" hidden="false" customHeight="true" outlineLevel="0" collapsed="false">
      <c r="A1521" s="5" t="s">
        <v>88</v>
      </c>
      <c r="B1521" s="5" t="s">
        <v>83</v>
      </c>
      <c r="C1521" s="5" t="s">
        <v>517</v>
      </c>
      <c r="D1521" s="6" t="n">
        <v>0.129228508132804</v>
      </c>
      <c r="E1521" s="6" t="n">
        <v>0.0408878467229138</v>
      </c>
      <c r="F1521" s="7" t="n">
        <v>0.00157465967562572</v>
      </c>
    </row>
    <row r="1522" customFormat="false" ht="15" hidden="false" customHeight="true" outlineLevel="0" collapsed="false">
      <c r="A1522" s="5" t="s">
        <v>88</v>
      </c>
      <c r="B1522" s="5" t="s">
        <v>83</v>
      </c>
      <c r="C1522" s="5" t="s">
        <v>518</v>
      </c>
      <c r="D1522" s="6" t="n">
        <v>0.123537078016224</v>
      </c>
      <c r="E1522" s="6" t="n">
        <v>0.0410486879070602</v>
      </c>
      <c r="F1522" s="7" t="n">
        <v>0.00261656007946848</v>
      </c>
    </row>
    <row r="1523" customFormat="false" ht="15" hidden="false" customHeight="true" outlineLevel="0" collapsed="false">
      <c r="A1523" s="5" t="s">
        <v>88</v>
      </c>
      <c r="B1523" s="5" t="s">
        <v>83</v>
      </c>
      <c r="C1523" s="5" t="s">
        <v>519</v>
      </c>
      <c r="D1523" s="6" t="n">
        <v>0.123498737330682</v>
      </c>
      <c r="E1523" s="6" t="n">
        <v>0.041097598233873</v>
      </c>
      <c r="F1523" s="7" t="n">
        <v>0.00265571190355793</v>
      </c>
    </row>
    <row r="1524" customFormat="false" ht="15" hidden="false" customHeight="true" outlineLevel="0" collapsed="false">
      <c r="A1524" s="5" t="s">
        <v>88</v>
      </c>
      <c r="B1524" s="5" t="s">
        <v>83</v>
      </c>
      <c r="C1524" s="5" t="s">
        <v>520</v>
      </c>
      <c r="D1524" s="6" t="n">
        <v>0.121067189628481</v>
      </c>
      <c r="E1524" s="6" t="n">
        <v>0.0411244598923997</v>
      </c>
      <c r="F1524" s="7" t="n">
        <v>0.00324081985784794</v>
      </c>
    </row>
    <row r="1525" customFormat="false" ht="15" hidden="false" customHeight="true" outlineLevel="0" collapsed="false">
      <c r="A1525" s="5" t="s">
        <v>88</v>
      </c>
      <c r="B1525" s="5" t="s">
        <v>83</v>
      </c>
      <c r="C1525" s="5" t="s">
        <v>521</v>
      </c>
      <c r="D1525" s="6" t="n">
        <v>0.119333202447478</v>
      </c>
      <c r="E1525" s="6" t="n">
        <v>0.0410667056030192</v>
      </c>
      <c r="F1525" s="7" t="n">
        <v>0.00366270775517717</v>
      </c>
    </row>
    <row r="1526" customFormat="false" ht="15" hidden="false" customHeight="true" outlineLevel="0" collapsed="false">
      <c r="A1526" s="5" t="s">
        <v>88</v>
      </c>
      <c r="B1526" s="5" t="s">
        <v>83</v>
      </c>
      <c r="C1526" s="5" t="s">
        <v>522</v>
      </c>
      <c r="D1526" s="6" t="n">
        <v>0.122488181738876</v>
      </c>
      <c r="E1526" s="6" t="n">
        <v>0.0411490077436764</v>
      </c>
      <c r="F1526" s="7" t="n">
        <v>0.00291370576155263</v>
      </c>
    </row>
    <row r="1527" customFormat="false" ht="15" hidden="false" customHeight="true" outlineLevel="0" collapsed="false">
      <c r="A1527" s="5" t="s">
        <v>88</v>
      </c>
      <c r="B1527" s="5" t="s">
        <v>83</v>
      </c>
      <c r="C1527" s="5" t="s">
        <v>523</v>
      </c>
      <c r="D1527" s="6" t="n">
        <v>0.120975836831876</v>
      </c>
      <c r="E1527" s="6" t="n">
        <v>0.0411220671544993</v>
      </c>
      <c r="F1527" s="7" t="n">
        <v>0.00326235284451995</v>
      </c>
    </row>
    <row r="1528" customFormat="false" ht="15" hidden="false" customHeight="true" outlineLevel="0" collapsed="false">
      <c r="A1528" s="5" t="s">
        <v>88</v>
      </c>
      <c r="B1528" s="5" t="s">
        <v>83</v>
      </c>
      <c r="C1528" s="5" t="s">
        <v>524</v>
      </c>
      <c r="D1528" s="6" t="n">
        <v>0.122440626203675</v>
      </c>
      <c r="E1528" s="6" t="n">
        <v>0.0411207552435715</v>
      </c>
      <c r="F1528" s="7" t="n">
        <v>0.00290527177966615</v>
      </c>
    </row>
    <row r="1529" customFormat="false" ht="15" hidden="false" customHeight="true" outlineLevel="0" collapsed="false">
      <c r="A1529" s="5" t="s">
        <v>88</v>
      </c>
      <c r="B1529" s="5" t="s">
        <v>83</v>
      </c>
      <c r="C1529" s="5" t="s">
        <v>525</v>
      </c>
      <c r="D1529" s="6" t="n">
        <v>0.118561394406095</v>
      </c>
      <c r="E1529" s="6" t="n">
        <v>0.0409621813083479</v>
      </c>
      <c r="F1529" s="7" t="n">
        <v>0.00379870396097121</v>
      </c>
    </row>
    <row r="1530" customFormat="false" ht="15" hidden="false" customHeight="true" outlineLevel="0" collapsed="false">
      <c r="A1530" s="5" t="s">
        <v>88</v>
      </c>
      <c r="B1530" s="5" t="s">
        <v>83</v>
      </c>
      <c r="C1530" s="5" t="s">
        <v>526</v>
      </c>
      <c r="D1530" s="6" t="n">
        <v>0.121194529622687</v>
      </c>
      <c r="E1530" s="6" t="n">
        <v>0.0412017970447631</v>
      </c>
      <c r="F1530" s="7" t="n">
        <v>0.0032664108422429</v>
      </c>
    </row>
    <row r="1531" customFormat="false" ht="15" hidden="false" customHeight="true" outlineLevel="0" collapsed="false">
      <c r="A1531" s="5" t="s">
        <v>88</v>
      </c>
      <c r="B1531" s="5" t="s">
        <v>83</v>
      </c>
      <c r="C1531" s="5" t="s">
        <v>527</v>
      </c>
      <c r="D1531" s="6" t="n">
        <v>0.125785719422318</v>
      </c>
      <c r="E1531" s="6" t="n">
        <v>0.0411909051914791</v>
      </c>
      <c r="F1531" s="7" t="n">
        <v>0.00226018751337628</v>
      </c>
    </row>
    <row r="1532" customFormat="false" ht="15" hidden="false" customHeight="true" outlineLevel="0" collapsed="false">
      <c r="A1532" s="5" t="s">
        <v>88</v>
      </c>
      <c r="B1532" s="5" t="s">
        <v>83</v>
      </c>
      <c r="C1532" s="5" t="s">
        <v>528</v>
      </c>
      <c r="D1532" s="6" t="n">
        <v>0.123266815729709</v>
      </c>
      <c r="E1532" s="6" t="n">
        <v>0.0411594659668015</v>
      </c>
      <c r="F1532" s="7" t="n">
        <v>0.00274571326148077</v>
      </c>
    </row>
    <row r="1533" customFormat="false" ht="15" hidden="false" customHeight="true" outlineLevel="0" collapsed="false">
      <c r="A1533" s="5" t="s">
        <v>88</v>
      </c>
      <c r="B1533" s="5" t="s">
        <v>83</v>
      </c>
      <c r="C1533" s="5" t="s">
        <v>529</v>
      </c>
      <c r="D1533" s="6" t="n">
        <v>0.120549003839428</v>
      </c>
      <c r="E1533" s="6" t="n">
        <v>0.0411356060179363</v>
      </c>
      <c r="F1533" s="7" t="n">
        <v>0.00338387592658386</v>
      </c>
    </row>
    <row r="1534" customFormat="false" ht="15" hidden="false" customHeight="true" outlineLevel="0" collapsed="false">
      <c r="A1534" s="5" t="s">
        <v>88</v>
      </c>
      <c r="B1534" s="5" t="s">
        <v>83</v>
      </c>
      <c r="C1534" s="5" t="s">
        <v>530</v>
      </c>
      <c r="D1534" s="6" t="n">
        <v>0.121166336863817</v>
      </c>
      <c r="E1534" s="6" t="n">
        <v>0.0411410960192992</v>
      </c>
      <c r="F1534" s="7" t="n">
        <v>0.0032280731008898</v>
      </c>
    </row>
    <row r="1535" customFormat="false" ht="15" hidden="false" customHeight="true" outlineLevel="0" collapsed="false">
      <c r="A1535" s="5" t="s">
        <v>88</v>
      </c>
      <c r="B1535" s="5" t="s">
        <v>83</v>
      </c>
      <c r="C1535" s="5" t="s">
        <v>531</v>
      </c>
      <c r="D1535" s="6" t="n">
        <v>0.121377796147858</v>
      </c>
      <c r="E1535" s="6" t="n">
        <v>0.0411732369799273</v>
      </c>
      <c r="F1535" s="7" t="n">
        <v>0.00319859843472536</v>
      </c>
    </row>
    <row r="1536" customFormat="false" ht="15" hidden="false" customHeight="true" outlineLevel="0" collapsed="false">
      <c r="A1536" s="5" t="s">
        <v>88</v>
      </c>
      <c r="B1536" s="5" t="s">
        <v>83</v>
      </c>
      <c r="C1536" s="5" t="s">
        <v>532</v>
      </c>
      <c r="D1536" s="6" t="n">
        <v>0.124888247772667</v>
      </c>
      <c r="E1536" s="6" t="n">
        <v>0.0409511914888203</v>
      </c>
      <c r="F1536" s="7" t="n">
        <v>0.002290812477815</v>
      </c>
    </row>
    <row r="1537" customFormat="false" ht="15" hidden="false" customHeight="true" outlineLevel="0" collapsed="false">
      <c r="A1537" s="5" t="s">
        <v>88</v>
      </c>
      <c r="B1537" s="5" t="s">
        <v>83</v>
      </c>
      <c r="C1537" s="5" t="s">
        <v>533</v>
      </c>
      <c r="D1537" s="6" t="n">
        <v>0.121419371930845</v>
      </c>
      <c r="E1537" s="6" t="n">
        <v>0.0411339697570119</v>
      </c>
      <c r="F1537" s="7" t="n">
        <v>0.00315924501718065</v>
      </c>
    </row>
    <row r="1538" customFormat="false" ht="15" hidden="false" customHeight="true" outlineLevel="0" collapsed="false">
      <c r="A1538" s="5" t="s">
        <v>88</v>
      </c>
      <c r="B1538" s="5" t="s">
        <v>83</v>
      </c>
      <c r="C1538" s="5" t="s">
        <v>534</v>
      </c>
      <c r="D1538" s="6" t="n">
        <v>0.121024042741633</v>
      </c>
      <c r="E1538" s="6" t="n">
        <v>0.0411302659545667</v>
      </c>
      <c r="F1538" s="7" t="n">
        <v>0.00325618907157811</v>
      </c>
    </row>
    <row r="1539" customFormat="false" ht="15" hidden="false" customHeight="true" outlineLevel="0" collapsed="false">
      <c r="A1539" s="5" t="s">
        <v>88</v>
      </c>
      <c r="B1539" s="5" t="s">
        <v>83</v>
      </c>
      <c r="C1539" s="5" t="s">
        <v>535</v>
      </c>
      <c r="D1539" s="6" t="n">
        <v>0.12146526914374</v>
      </c>
      <c r="E1539" s="6" t="n">
        <v>0.041137536247551</v>
      </c>
      <c r="F1539" s="7" t="n">
        <v>0.00315045991297229</v>
      </c>
    </row>
    <row r="1540" customFormat="false" ht="15" hidden="false" customHeight="true" outlineLevel="0" collapsed="false">
      <c r="A1540" s="5" t="s">
        <v>88</v>
      </c>
      <c r="B1540" s="5" t="s">
        <v>83</v>
      </c>
      <c r="C1540" s="5" t="s">
        <v>536</v>
      </c>
      <c r="D1540" s="6" t="n">
        <v>0.124085067676738</v>
      </c>
      <c r="E1540" s="6" t="n">
        <v>0.0409666835689463</v>
      </c>
      <c r="F1540" s="7" t="n">
        <v>0.00245424499417437</v>
      </c>
    </row>
    <row r="1541" customFormat="false" ht="15" hidden="false" customHeight="true" outlineLevel="0" collapsed="false">
      <c r="A1541" s="5" t="s">
        <v>88</v>
      </c>
      <c r="B1541" s="5" t="s">
        <v>83</v>
      </c>
      <c r="C1541" s="5" t="s">
        <v>537</v>
      </c>
      <c r="D1541" s="6" t="n">
        <v>0.122690586247448</v>
      </c>
      <c r="E1541" s="6" t="n">
        <v>0.0411406300832551</v>
      </c>
      <c r="F1541" s="7" t="n">
        <v>0.00286162270725895</v>
      </c>
    </row>
    <row r="1542" customFormat="false" ht="15" hidden="false" customHeight="true" outlineLevel="0" collapsed="false">
      <c r="A1542" s="5" t="s">
        <v>88</v>
      </c>
      <c r="B1542" s="5" t="s">
        <v>83</v>
      </c>
      <c r="C1542" s="5" t="s">
        <v>538</v>
      </c>
      <c r="D1542" s="6" t="n">
        <v>0.120633293491476</v>
      </c>
      <c r="E1542" s="6" t="n">
        <v>0.0411503863799325</v>
      </c>
      <c r="F1542" s="7" t="n">
        <v>0.00337304669097709</v>
      </c>
    </row>
    <row r="1543" customFormat="false" ht="15" hidden="false" customHeight="true" outlineLevel="0" collapsed="false">
      <c r="A1543" s="5" t="s">
        <v>88</v>
      </c>
      <c r="B1543" s="5" t="s">
        <v>83</v>
      </c>
      <c r="C1543" s="5" t="s">
        <v>539</v>
      </c>
      <c r="D1543" s="6" t="n">
        <v>0.120475087556259</v>
      </c>
      <c r="E1543" s="6" t="n">
        <v>0.0411479908290978</v>
      </c>
      <c r="F1543" s="7" t="n">
        <v>0.00341316196588086</v>
      </c>
    </row>
    <row r="1544" customFormat="false" ht="15" hidden="false" customHeight="true" outlineLevel="0" collapsed="false">
      <c r="A1544" s="5" t="s">
        <v>88</v>
      </c>
      <c r="B1544" s="5" t="s">
        <v>83</v>
      </c>
      <c r="C1544" s="5" t="s">
        <v>540</v>
      </c>
      <c r="D1544" s="6" t="n">
        <v>0.123748730474131</v>
      </c>
      <c r="E1544" s="6" t="n">
        <v>0.0411687270559091</v>
      </c>
      <c r="F1544" s="7" t="n">
        <v>0.00264803387659066</v>
      </c>
    </row>
    <row r="1545" customFormat="false" ht="15" hidden="false" customHeight="true" outlineLevel="0" collapsed="false">
      <c r="A1545" s="5" t="s">
        <v>88</v>
      </c>
      <c r="B1545" s="5" t="s">
        <v>83</v>
      </c>
      <c r="C1545" s="5" t="s">
        <v>541</v>
      </c>
      <c r="D1545" s="6" t="n">
        <v>0.121305656243546</v>
      </c>
      <c r="E1545" s="6" t="n">
        <v>0.04113588062073</v>
      </c>
      <c r="F1545" s="7" t="n">
        <v>0.00318905695988816</v>
      </c>
    </row>
    <row r="1546" customFormat="false" ht="15" hidden="false" customHeight="true" outlineLevel="0" collapsed="false">
      <c r="A1546" s="5" t="s">
        <v>88</v>
      </c>
      <c r="B1546" s="5" t="s">
        <v>83</v>
      </c>
      <c r="C1546" s="5" t="s">
        <v>542</v>
      </c>
      <c r="D1546" s="6" t="n">
        <v>0.120425695888474</v>
      </c>
      <c r="E1546" s="6" t="n">
        <v>0.0410996367835786</v>
      </c>
      <c r="F1546" s="7" t="n">
        <v>0.0033886222066856</v>
      </c>
    </row>
    <row r="1547" customFormat="false" ht="15" hidden="false" customHeight="true" outlineLevel="0" collapsed="false">
      <c r="A1547" s="5" t="s">
        <v>88</v>
      </c>
      <c r="B1547" s="5" t="s">
        <v>83</v>
      </c>
      <c r="C1547" s="5" t="s">
        <v>543</v>
      </c>
      <c r="D1547" s="6" t="n">
        <v>0.12307056232406</v>
      </c>
      <c r="E1547" s="6" t="n">
        <v>0.0411236823859587</v>
      </c>
      <c r="F1547" s="7" t="n">
        <v>0.00276527630198676</v>
      </c>
    </row>
    <row r="1548" customFormat="false" ht="15" hidden="false" customHeight="true" outlineLevel="0" collapsed="false">
      <c r="A1548" s="5" t="s">
        <v>88</v>
      </c>
      <c r="B1548" s="5" t="s">
        <v>83</v>
      </c>
      <c r="C1548" s="5" t="s">
        <v>544</v>
      </c>
      <c r="D1548" s="6" t="n">
        <v>0.120972391203165</v>
      </c>
      <c r="E1548" s="6" t="n">
        <v>0.0411558856346265</v>
      </c>
      <c r="F1548" s="7" t="n">
        <v>0.00328879801094164</v>
      </c>
    </row>
    <row r="1549" customFormat="false" ht="15" hidden="false" customHeight="true" outlineLevel="0" collapsed="false">
      <c r="A1549" s="5" t="s">
        <v>88</v>
      </c>
      <c r="B1549" s="5" t="s">
        <v>83</v>
      </c>
      <c r="C1549" s="5" t="s">
        <v>545</v>
      </c>
      <c r="D1549" s="6" t="n">
        <v>0.120039998835704</v>
      </c>
      <c r="E1549" s="6" t="n">
        <v>0.0411487397464373</v>
      </c>
      <c r="F1549" s="7" t="n">
        <v>0.00353164587659802</v>
      </c>
    </row>
    <row r="1550" customFormat="false" ht="15" hidden="false" customHeight="true" outlineLevel="0" collapsed="false">
      <c r="A1550" s="5" t="s">
        <v>88</v>
      </c>
      <c r="B1550" s="5" t="s">
        <v>83</v>
      </c>
      <c r="C1550" s="5" t="s">
        <v>546</v>
      </c>
      <c r="D1550" s="6" t="n">
        <v>0.121509300410517</v>
      </c>
      <c r="E1550" s="6" t="n">
        <v>0.0411546395774882</v>
      </c>
      <c r="F1550" s="7" t="n">
        <v>0.00315206437326725</v>
      </c>
    </row>
    <row r="1551" customFormat="false" ht="15" hidden="false" customHeight="true" outlineLevel="0" collapsed="false">
      <c r="A1551" s="5" t="s">
        <v>88</v>
      </c>
      <c r="B1551" s="5" t="s">
        <v>83</v>
      </c>
      <c r="C1551" s="5" t="s">
        <v>547</v>
      </c>
      <c r="D1551" s="6" t="n">
        <v>0.122389941088756</v>
      </c>
      <c r="E1551" s="6" t="n">
        <v>0.0411316636834331</v>
      </c>
      <c r="F1551" s="7" t="n">
        <v>0.00292449314706474</v>
      </c>
    </row>
    <row r="1552" customFormat="false" ht="15" hidden="false" customHeight="true" outlineLevel="0" collapsed="false">
      <c r="A1552" s="5" t="s">
        <v>88</v>
      </c>
      <c r="B1552" s="5" t="s">
        <v>83</v>
      </c>
      <c r="C1552" s="5" t="s">
        <v>548</v>
      </c>
      <c r="D1552" s="6" t="n">
        <v>0.120907266093599</v>
      </c>
      <c r="E1552" s="6" t="n">
        <v>0.0412160992293953</v>
      </c>
      <c r="F1552" s="7" t="n">
        <v>0.0033516787170838</v>
      </c>
    </row>
    <row r="1553" customFormat="false" ht="15" hidden="false" customHeight="true" outlineLevel="0" collapsed="false">
      <c r="A1553" s="5" t="s">
        <v>88</v>
      </c>
      <c r="B1553" s="5" t="s">
        <v>83</v>
      </c>
      <c r="C1553" s="5" t="s">
        <v>549</v>
      </c>
      <c r="D1553" s="6" t="n">
        <v>0.120838683396514</v>
      </c>
      <c r="E1553" s="6" t="n">
        <v>0.0412036457597027</v>
      </c>
      <c r="F1553" s="7" t="n">
        <v>0.0033600867798533</v>
      </c>
    </row>
    <row r="1554" customFormat="false" ht="15" hidden="false" customHeight="true" outlineLevel="0" collapsed="false">
      <c r="A1554" s="5" t="s">
        <v>88</v>
      </c>
      <c r="B1554" s="5" t="s">
        <v>83</v>
      </c>
      <c r="C1554" s="5" t="s">
        <v>550</v>
      </c>
      <c r="D1554" s="6" t="n">
        <v>0.120683646559468</v>
      </c>
      <c r="E1554" s="6" t="n">
        <v>0.0411099332098718</v>
      </c>
      <c r="F1554" s="7" t="n">
        <v>0.00332868664625793</v>
      </c>
    </row>
    <row r="1555" customFormat="false" ht="15" hidden="false" customHeight="true" outlineLevel="0" collapsed="false">
      <c r="A1555" s="5" t="s">
        <v>88</v>
      </c>
      <c r="B1555" s="5" t="s">
        <v>83</v>
      </c>
      <c r="C1555" s="5" t="s">
        <v>551</v>
      </c>
      <c r="D1555" s="6" t="n">
        <v>0.122729323186748</v>
      </c>
      <c r="E1555" s="6" t="n">
        <v>0.041096111553915</v>
      </c>
      <c r="F1555" s="7" t="n">
        <v>0.00282285488425478</v>
      </c>
    </row>
    <row r="1556" customFormat="false" ht="15" hidden="false" customHeight="true" outlineLevel="0" collapsed="false">
      <c r="A1556" s="5" t="s">
        <v>88</v>
      </c>
      <c r="B1556" s="5" t="s">
        <v>83</v>
      </c>
      <c r="C1556" s="5" t="s">
        <v>552</v>
      </c>
      <c r="D1556" s="6" t="n">
        <v>0.120853068176399</v>
      </c>
      <c r="E1556" s="6" t="n">
        <v>0.0411467552148997</v>
      </c>
      <c r="F1556" s="7" t="n">
        <v>0.00331273019770099</v>
      </c>
    </row>
    <row r="1557" customFormat="false" ht="15" hidden="false" customHeight="true" outlineLevel="0" collapsed="false">
      <c r="A1557" s="5" t="s">
        <v>88</v>
      </c>
      <c r="B1557" s="5" t="s">
        <v>83</v>
      </c>
      <c r="C1557" s="5" t="s">
        <v>553</v>
      </c>
      <c r="D1557" s="6" t="n">
        <v>0.120300850702198</v>
      </c>
      <c r="E1557" s="6" t="n">
        <v>0.0411038300288412</v>
      </c>
      <c r="F1557" s="7" t="n">
        <v>0.0034251830114386</v>
      </c>
    </row>
    <row r="1558" customFormat="false" ht="15" hidden="false" customHeight="true" outlineLevel="0" collapsed="false">
      <c r="A1558" s="5" t="s">
        <v>88</v>
      </c>
      <c r="B1558" s="5" t="s">
        <v>83</v>
      </c>
      <c r="C1558" s="5" t="s">
        <v>554</v>
      </c>
      <c r="D1558" s="6" t="n">
        <v>0.121947787998951</v>
      </c>
      <c r="E1558" s="6" t="n">
        <v>0.0411257288969938</v>
      </c>
      <c r="F1558" s="7" t="n">
        <v>0.00302443730963123</v>
      </c>
    </row>
    <row r="1559" customFormat="false" ht="15" hidden="false" customHeight="true" outlineLevel="0" collapsed="false">
      <c r="A1559" s="5" t="s">
        <v>88</v>
      </c>
      <c r="B1559" s="5" t="s">
        <v>83</v>
      </c>
      <c r="C1559" s="5" t="s">
        <v>555</v>
      </c>
      <c r="D1559" s="6" t="n">
        <v>0.123210463234489</v>
      </c>
      <c r="E1559" s="6" t="n">
        <v>0.0410644508613366</v>
      </c>
      <c r="F1559" s="7" t="n">
        <v>0.0026961050639189</v>
      </c>
    </row>
    <row r="1560" customFormat="false" ht="15" hidden="false" customHeight="true" outlineLevel="0" collapsed="false">
      <c r="A1560" s="5" t="s">
        <v>88</v>
      </c>
      <c r="B1560" s="5" t="s">
        <v>83</v>
      </c>
      <c r="C1560" s="5" t="s">
        <v>556</v>
      </c>
      <c r="D1560" s="6" t="n">
        <v>0.121952868998979</v>
      </c>
      <c r="E1560" s="6" t="n">
        <v>0.0411329322898048</v>
      </c>
      <c r="F1560" s="7" t="n">
        <v>0.00302833066903141</v>
      </c>
    </row>
    <row r="1561" customFormat="false" ht="15" hidden="false" customHeight="true" outlineLevel="0" collapsed="false">
      <c r="A1561" s="5" t="s">
        <v>88</v>
      </c>
      <c r="B1561" s="5" t="s">
        <v>83</v>
      </c>
      <c r="C1561" s="5" t="s">
        <v>557</v>
      </c>
      <c r="D1561" s="6" t="n">
        <v>0.120428383523561</v>
      </c>
      <c r="E1561" s="6" t="n">
        <v>0.0410915296856446</v>
      </c>
      <c r="F1561" s="7" t="n">
        <v>0.00338161133944001</v>
      </c>
    </row>
    <row r="1562" customFormat="false" ht="15" hidden="false" customHeight="true" outlineLevel="0" collapsed="false">
      <c r="A1562" s="5" t="s">
        <v>88</v>
      </c>
      <c r="B1562" s="5" t="s">
        <v>83</v>
      </c>
      <c r="C1562" s="5" t="s">
        <v>558</v>
      </c>
      <c r="D1562" s="6" t="n">
        <v>0.121452066361648</v>
      </c>
      <c r="E1562" s="6" t="n">
        <v>0.0411306980916686</v>
      </c>
      <c r="F1562" s="7" t="n">
        <v>0.00314872658684946</v>
      </c>
    </row>
    <row r="1563" customFormat="false" ht="15" hidden="false" customHeight="true" outlineLevel="0" collapsed="false">
      <c r="A1563" s="5" t="s">
        <v>88</v>
      </c>
      <c r="B1563" s="5" t="s">
        <v>83</v>
      </c>
      <c r="C1563" s="5" t="s">
        <v>559</v>
      </c>
      <c r="D1563" s="6" t="n">
        <v>0.121054611357024</v>
      </c>
      <c r="E1563" s="6" t="n">
        <v>0.0411366408214696</v>
      </c>
      <c r="F1563" s="7" t="n">
        <v>0.00325317095360072</v>
      </c>
    </row>
    <row r="1564" customFormat="false" ht="15" hidden="false" customHeight="true" outlineLevel="0" collapsed="false">
      <c r="A1564" s="5" t="s">
        <v>88</v>
      </c>
      <c r="B1564" s="5" t="s">
        <v>83</v>
      </c>
      <c r="C1564" s="5" t="s">
        <v>560</v>
      </c>
      <c r="D1564" s="6" t="n">
        <v>0.122868279094434</v>
      </c>
      <c r="E1564" s="6" t="n">
        <v>0.041104334526232</v>
      </c>
      <c r="F1564" s="7" t="n">
        <v>0.00279726742792464</v>
      </c>
    </row>
    <row r="1565" customFormat="false" ht="15" hidden="false" customHeight="true" outlineLevel="0" collapsed="false">
      <c r="A1565" s="5" t="s">
        <v>88</v>
      </c>
      <c r="B1565" s="5" t="s">
        <v>83</v>
      </c>
      <c r="C1565" s="5" t="s">
        <v>561</v>
      </c>
      <c r="D1565" s="6" t="n">
        <v>0.12303514142332</v>
      </c>
      <c r="E1565" s="6" t="n">
        <v>0.0411191828418135</v>
      </c>
      <c r="F1565" s="7" t="n">
        <v>0.00277011760360783</v>
      </c>
    </row>
    <row r="1566" customFormat="false" ht="15" hidden="false" customHeight="true" outlineLevel="0" collapsed="false">
      <c r="A1566" s="5" t="s">
        <v>88</v>
      </c>
      <c r="B1566" s="5" t="s">
        <v>83</v>
      </c>
      <c r="C1566" s="5" t="s">
        <v>562</v>
      </c>
      <c r="D1566" s="6" t="n">
        <v>0.121933374777058</v>
      </c>
      <c r="E1566" s="6" t="n">
        <v>0.0411419881990859</v>
      </c>
      <c r="F1566" s="7" t="n">
        <v>0.00303943714205406</v>
      </c>
    </row>
    <row r="1567" customFormat="false" ht="15" hidden="false" customHeight="true" outlineLevel="0" collapsed="false">
      <c r="A1567" s="5" t="s">
        <v>88</v>
      </c>
      <c r="B1567" s="5" t="s">
        <v>83</v>
      </c>
      <c r="C1567" s="5" t="s">
        <v>563</v>
      </c>
      <c r="D1567" s="6" t="n">
        <v>0.120543271336324</v>
      </c>
      <c r="E1567" s="6" t="n">
        <v>0.0411247743895492</v>
      </c>
      <c r="F1567" s="7" t="n">
        <v>0.00337699393112502</v>
      </c>
    </row>
    <row r="1568" customFormat="false" ht="15" hidden="false" customHeight="true" outlineLevel="0" collapsed="false">
      <c r="A1568" s="5" t="s">
        <v>88</v>
      </c>
      <c r="B1568" s="5" t="s">
        <v>83</v>
      </c>
      <c r="C1568" s="5" t="s">
        <v>564</v>
      </c>
      <c r="D1568" s="6" t="n">
        <v>0.120697807206128</v>
      </c>
      <c r="E1568" s="6" t="n">
        <v>0.0411225936085746</v>
      </c>
      <c r="F1568" s="7" t="n">
        <v>0.00333469408163297</v>
      </c>
    </row>
    <row r="1569" customFormat="false" ht="15" hidden="false" customHeight="true" outlineLevel="0" collapsed="false">
      <c r="A1569" s="5" t="s">
        <v>88</v>
      </c>
      <c r="B1569" s="5" t="s">
        <v>83</v>
      </c>
      <c r="C1569" s="5" t="s">
        <v>565</v>
      </c>
      <c r="D1569" s="6" t="n">
        <v>0.122370052509992</v>
      </c>
      <c r="E1569" s="6" t="n">
        <v>0.0411415044116634</v>
      </c>
      <c r="F1569" s="7" t="n">
        <v>0.00293590920656145</v>
      </c>
    </row>
    <row r="1570" customFormat="false" ht="15" hidden="false" customHeight="true" outlineLevel="0" collapsed="false">
      <c r="A1570" s="5" t="s">
        <v>88</v>
      </c>
      <c r="B1570" s="5" t="s">
        <v>83</v>
      </c>
      <c r="C1570" s="5" t="s">
        <v>566</v>
      </c>
      <c r="D1570" s="6" t="n">
        <v>0.119698429858217</v>
      </c>
      <c r="E1570" s="6" t="n">
        <v>0.0411145641718875</v>
      </c>
      <c r="F1570" s="7" t="n">
        <v>0.00359883443388598</v>
      </c>
    </row>
    <row r="1571" customFormat="false" ht="15" hidden="false" customHeight="true" outlineLevel="0" collapsed="false">
      <c r="A1571" s="5" t="s">
        <v>88</v>
      </c>
      <c r="B1571" s="5" t="s">
        <v>83</v>
      </c>
      <c r="C1571" s="5" t="s">
        <v>567</v>
      </c>
      <c r="D1571" s="6" t="n">
        <v>0.121917891944196</v>
      </c>
      <c r="E1571" s="6" t="n">
        <v>0.0411322302739671</v>
      </c>
      <c r="F1571" s="7" t="n">
        <v>0.00303621233220144</v>
      </c>
    </row>
    <row r="1572" customFormat="false" ht="15" hidden="false" customHeight="true" outlineLevel="0" collapsed="false">
      <c r="A1572" s="5" t="s">
        <v>88</v>
      </c>
      <c r="B1572" s="5" t="s">
        <v>83</v>
      </c>
      <c r="C1572" s="5" t="s">
        <v>568</v>
      </c>
      <c r="D1572" s="6" t="n">
        <v>0.121546498861581</v>
      </c>
      <c r="E1572" s="6" t="n">
        <v>0.0411374554495058</v>
      </c>
      <c r="F1572" s="7" t="n">
        <v>0.00313030945025798</v>
      </c>
    </row>
    <row r="1573" customFormat="false" ht="15" hidden="false" customHeight="true" outlineLevel="0" collapsed="false">
      <c r="A1573" s="5" t="s">
        <v>88</v>
      </c>
      <c r="B1573" s="5" t="s">
        <v>83</v>
      </c>
      <c r="C1573" s="5" t="s">
        <v>569</v>
      </c>
      <c r="D1573" s="6" t="n">
        <v>0.116057895796629</v>
      </c>
      <c r="E1573" s="6" t="n">
        <v>0.0407916443651968</v>
      </c>
      <c r="F1573" s="7" t="n">
        <v>0.0044392055039069</v>
      </c>
    </row>
    <row r="1574" customFormat="false" ht="15" hidden="false" customHeight="true" outlineLevel="0" collapsed="false">
      <c r="A1574" s="5" t="s">
        <v>88</v>
      </c>
      <c r="B1574" s="5" t="s">
        <v>83</v>
      </c>
      <c r="C1574" s="5" t="s">
        <v>570</v>
      </c>
      <c r="D1574" s="6" t="n">
        <v>0.11784765013568</v>
      </c>
      <c r="E1574" s="6" t="n">
        <v>0.0410388599081149</v>
      </c>
      <c r="F1574" s="7" t="n">
        <v>0.00408385060485156</v>
      </c>
    </row>
    <row r="1575" customFormat="false" ht="15" hidden="false" customHeight="true" outlineLevel="0" collapsed="false">
      <c r="A1575" s="5" t="s">
        <v>88</v>
      </c>
      <c r="B1575" s="5" t="s">
        <v>83</v>
      </c>
      <c r="C1575" s="5" t="s">
        <v>571</v>
      </c>
      <c r="D1575" s="6" t="n">
        <v>0.121484484159718</v>
      </c>
      <c r="E1575" s="6" t="n">
        <v>0.0411365082046355</v>
      </c>
      <c r="F1575" s="7" t="n">
        <v>0.00314494462157263</v>
      </c>
    </row>
    <row r="1576" customFormat="false" ht="15" hidden="false" customHeight="true" outlineLevel="0" collapsed="false">
      <c r="A1576" s="5" t="s">
        <v>88</v>
      </c>
      <c r="B1576" s="5" t="s">
        <v>83</v>
      </c>
      <c r="C1576" s="5" t="s">
        <v>572</v>
      </c>
      <c r="D1576" s="6" t="n">
        <v>0.119294635131112</v>
      </c>
      <c r="E1576" s="6" t="n">
        <v>0.0409814212107313</v>
      </c>
      <c r="F1576" s="7" t="n">
        <v>0.00360338229781654</v>
      </c>
    </row>
    <row r="1577" customFormat="false" ht="15" hidden="false" customHeight="true" outlineLevel="0" collapsed="false">
      <c r="A1577" s="5" t="s">
        <v>88</v>
      </c>
      <c r="B1577" s="5" t="s">
        <v>83</v>
      </c>
      <c r="C1577" s="5" t="s">
        <v>573</v>
      </c>
      <c r="D1577" s="6" t="n">
        <v>0.120240574389069</v>
      </c>
      <c r="E1577" s="6" t="n">
        <v>0.0411120593334556</v>
      </c>
      <c r="F1577" s="7" t="n">
        <v>0.00344784816634458</v>
      </c>
    </row>
    <row r="1578" customFormat="false" ht="15" hidden="false" customHeight="true" outlineLevel="0" collapsed="false">
      <c r="A1578" s="5" t="s">
        <v>88</v>
      </c>
      <c r="B1578" s="5" t="s">
        <v>83</v>
      </c>
      <c r="C1578" s="5" t="s">
        <v>574</v>
      </c>
      <c r="D1578" s="6" t="n">
        <v>0.120509530969962</v>
      </c>
      <c r="E1578" s="6" t="n">
        <v>0.0411158642587463</v>
      </c>
      <c r="F1578" s="7" t="n">
        <v>0.00337901012183773</v>
      </c>
    </row>
    <row r="1579" customFormat="false" ht="15" hidden="false" customHeight="true" outlineLevel="0" collapsed="false">
      <c r="A1579" s="5" t="s">
        <v>88</v>
      </c>
      <c r="B1579" s="5" t="s">
        <v>83</v>
      </c>
      <c r="C1579" s="5" t="s">
        <v>575</v>
      </c>
      <c r="D1579" s="6" t="n">
        <v>0.120906034322941</v>
      </c>
      <c r="E1579" s="6" t="n">
        <v>0.0411449970811319</v>
      </c>
      <c r="F1579" s="7" t="n">
        <v>0.00329766896247264</v>
      </c>
    </row>
    <row r="1580" customFormat="false" ht="15" hidden="false" customHeight="true" outlineLevel="0" collapsed="false">
      <c r="A1580" s="5" t="s">
        <v>88</v>
      </c>
      <c r="B1580" s="5" t="s">
        <v>83</v>
      </c>
      <c r="C1580" s="5" t="s">
        <v>576</v>
      </c>
      <c r="D1580" s="6" t="n">
        <v>0.128399280909676</v>
      </c>
      <c r="E1580" s="6" t="n">
        <v>0.0410000377009954</v>
      </c>
      <c r="F1580" s="7" t="n">
        <v>0.00173805121217564</v>
      </c>
    </row>
    <row r="1581" customFormat="false" ht="15" hidden="false" customHeight="true" outlineLevel="0" collapsed="false">
      <c r="A1581" s="5" t="s">
        <v>88</v>
      </c>
      <c r="B1581" s="5" t="s">
        <v>83</v>
      </c>
      <c r="C1581" s="5" t="s">
        <v>784</v>
      </c>
      <c r="D1581" s="6" t="n">
        <v>0.12480790537209</v>
      </c>
      <c r="E1581" s="6" t="n">
        <v>0.0409771896101427</v>
      </c>
      <c r="F1581" s="7" t="n">
        <v>0.00232070028719919</v>
      </c>
    </row>
    <row r="1582" customFormat="false" ht="15" hidden="false" customHeight="true" outlineLevel="0" collapsed="false">
      <c r="A1582" s="5" t="s">
        <v>88</v>
      </c>
      <c r="B1582" s="5" t="s">
        <v>83</v>
      </c>
      <c r="C1582" s="5" t="s">
        <v>577</v>
      </c>
      <c r="D1582" s="6" t="n">
        <v>0.121864229739097</v>
      </c>
      <c r="E1582" s="6" t="n">
        <v>0.0411300456217931</v>
      </c>
      <c r="F1582" s="7" t="n">
        <v>0.00304755135635159</v>
      </c>
    </row>
    <row r="1583" customFormat="false" ht="15" hidden="false" customHeight="true" outlineLevel="0" collapsed="false">
      <c r="A1583" s="5" t="s">
        <v>88</v>
      </c>
      <c r="B1583" s="5" t="s">
        <v>83</v>
      </c>
      <c r="C1583" s="5" t="s">
        <v>578</v>
      </c>
      <c r="D1583" s="6" t="n">
        <v>0.119426087138812</v>
      </c>
      <c r="E1583" s="6" t="n">
        <v>0.0410681901142038</v>
      </c>
      <c r="F1583" s="7" t="n">
        <v>0.00363754277324347</v>
      </c>
    </row>
    <row r="1584" customFormat="false" ht="15" hidden="false" customHeight="true" outlineLevel="0" collapsed="false">
      <c r="A1584" s="5" t="s">
        <v>88</v>
      </c>
      <c r="B1584" s="5" t="s">
        <v>83</v>
      </c>
      <c r="C1584" s="5" t="s">
        <v>579</v>
      </c>
      <c r="D1584" s="6" t="n">
        <v>0.121136160360474</v>
      </c>
      <c r="E1584" s="6" t="n">
        <v>0.0411355649309359</v>
      </c>
      <c r="F1584" s="7" t="n">
        <v>0.00323159707312111</v>
      </c>
    </row>
    <row r="1585" customFormat="false" ht="15" hidden="false" customHeight="true" outlineLevel="0" collapsed="false">
      <c r="A1585" s="5" t="s">
        <v>88</v>
      </c>
      <c r="B1585" s="5" t="s">
        <v>83</v>
      </c>
      <c r="C1585" s="5" t="s">
        <v>580</v>
      </c>
      <c r="D1585" s="6" t="n">
        <v>0.121524074054404</v>
      </c>
      <c r="E1585" s="6" t="n">
        <v>0.0411314785721767</v>
      </c>
      <c r="F1585" s="7" t="n">
        <v>0.00313148502500322</v>
      </c>
    </row>
    <row r="1586" customFormat="false" ht="15" hidden="false" customHeight="true" outlineLevel="0" collapsed="false">
      <c r="A1586" s="5" t="s">
        <v>88</v>
      </c>
      <c r="B1586" s="5" t="s">
        <v>83</v>
      </c>
      <c r="C1586" s="5" t="s">
        <v>581</v>
      </c>
      <c r="D1586" s="6" t="n">
        <v>0.12197677867964</v>
      </c>
      <c r="E1586" s="6" t="n">
        <v>0.0411352257812656</v>
      </c>
      <c r="F1586" s="7" t="n">
        <v>0.00302423890812639</v>
      </c>
    </row>
    <row r="1587" customFormat="false" ht="15" hidden="false" customHeight="true" outlineLevel="0" collapsed="false">
      <c r="A1587" s="5" t="s">
        <v>88</v>
      </c>
      <c r="B1587" s="5" t="s">
        <v>83</v>
      </c>
      <c r="C1587" s="5" t="s">
        <v>582</v>
      </c>
      <c r="D1587" s="6" t="n">
        <v>0.126389697661317</v>
      </c>
      <c r="E1587" s="6" t="n">
        <v>0.041087421757581</v>
      </c>
      <c r="F1587" s="7" t="n">
        <v>0.00209715859180816</v>
      </c>
    </row>
    <row r="1588" customFormat="false" ht="15" hidden="false" customHeight="true" outlineLevel="0" collapsed="false">
      <c r="A1588" s="5" t="s">
        <v>88</v>
      </c>
      <c r="B1588" s="5" t="s">
        <v>83</v>
      </c>
      <c r="C1588" s="5" t="s">
        <v>583</v>
      </c>
      <c r="D1588" s="6" t="n">
        <v>0.123399311607896</v>
      </c>
      <c r="E1588" s="6" t="n">
        <v>0.0410461232634214</v>
      </c>
      <c r="F1588" s="7" t="n">
        <v>0.00264398134943134</v>
      </c>
    </row>
    <row r="1589" customFormat="false" ht="15" hidden="false" customHeight="true" outlineLevel="0" collapsed="false">
      <c r="A1589" s="5" t="s">
        <v>88</v>
      </c>
      <c r="B1589" s="5" t="s">
        <v>83</v>
      </c>
      <c r="C1589" s="5" t="s">
        <v>584</v>
      </c>
      <c r="D1589" s="6" t="n">
        <v>0.12038241975209</v>
      </c>
      <c r="E1589" s="6" t="n">
        <v>0.0410907891668404</v>
      </c>
      <c r="F1589" s="7" t="n">
        <v>0.00339323013047896</v>
      </c>
    </row>
    <row r="1590" customFormat="false" ht="15" hidden="false" customHeight="true" outlineLevel="0" collapsed="false">
      <c r="A1590" s="5" t="s">
        <v>88</v>
      </c>
      <c r="B1590" s="5" t="s">
        <v>83</v>
      </c>
      <c r="C1590" s="5" t="s">
        <v>585</v>
      </c>
      <c r="D1590" s="6" t="n">
        <v>0.121969499411255</v>
      </c>
      <c r="E1590" s="6" t="n">
        <v>0.0411287788811242</v>
      </c>
      <c r="F1590" s="7" t="n">
        <v>0.00302141051950958</v>
      </c>
    </row>
    <row r="1591" customFormat="false" ht="15" hidden="false" customHeight="true" outlineLevel="0" collapsed="false">
      <c r="A1591" s="5" t="s">
        <v>88</v>
      </c>
      <c r="B1591" s="5" t="s">
        <v>83</v>
      </c>
      <c r="C1591" s="5" t="s">
        <v>586</v>
      </c>
      <c r="D1591" s="6" t="n">
        <v>0.121757885004707</v>
      </c>
      <c r="E1591" s="6" t="n">
        <v>0.0411709827399374</v>
      </c>
      <c r="F1591" s="7" t="n">
        <v>0.00310274189883421</v>
      </c>
    </row>
    <row r="1592" customFormat="false" ht="15" hidden="false" customHeight="true" outlineLevel="0" collapsed="false">
      <c r="A1592" s="5" t="s">
        <v>88</v>
      </c>
      <c r="B1592" s="5" t="s">
        <v>83</v>
      </c>
      <c r="C1592" s="5" t="s">
        <v>587</v>
      </c>
      <c r="D1592" s="6" t="n">
        <v>0.120971952282005</v>
      </c>
      <c r="E1592" s="6" t="n">
        <v>0.0411330990511388</v>
      </c>
      <c r="F1592" s="7" t="n">
        <v>0.00327167167652771</v>
      </c>
    </row>
    <row r="1593" customFormat="false" ht="15" hidden="false" customHeight="true" outlineLevel="0" collapsed="false">
      <c r="A1593" s="5" t="s">
        <v>88</v>
      </c>
      <c r="B1593" s="5" t="s">
        <v>83</v>
      </c>
      <c r="C1593" s="5" t="s">
        <v>588</v>
      </c>
      <c r="D1593" s="6" t="n">
        <v>0.121695328089497</v>
      </c>
      <c r="E1593" s="6" t="n">
        <v>0.0411589862055337</v>
      </c>
      <c r="F1593" s="7" t="n">
        <v>0.00310936934567557</v>
      </c>
    </row>
    <row r="1594" customFormat="false" ht="15" hidden="false" customHeight="true" outlineLevel="0" collapsed="false">
      <c r="A1594" s="5" t="s">
        <v>88</v>
      </c>
      <c r="B1594" s="5" t="s">
        <v>83</v>
      </c>
      <c r="C1594" s="5" t="s">
        <v>589</v>
      </c>
      <c r="D1594" s="6" t="n">
        <v>0.121350111992336</v>
      </c>
      <c r="E1594" s="6" t="n">
        <v>0.0411528559653462</v>
      </c>
      <c r="F1594" s="7" t="n">
        <v>0.00319046210467519</v>
      </c>
    </row>
    <row r="1595" customFormat="false" ht="15" hidden="false" customHeight="true" outlineLevel="0" collapsed="false">
      <c r="A1595" s="5" t="s">
        <v>88</v>
      </c>
      <c r="B1595" s="5" t="s">
        <v>83</v>
      </c>
      <c r="C1595" s="5" t="s">
        <v>590</v>
      </c>
      <c r="D1595" s="6" t="n">
        <v>0.121624402791872</v>
      </c>
      <c r="E1595" s="6" t="n">
        <v>0.0411395992282794</v>
      </c>
      <c r="F1595" s="7" t="n">
        <v>0.00311270522414188</v>
      </c>
    </row>
    <row r="1596" customFormat="false" ht="15" hidden="false" customHeight="true" outlineLevel="0" collapsed="false">
      <c r="A1596" s="5" t="s">
        <v>88</v>
      </c>
      <c r="B1596" s="5" t="s">
        <v>83</v>
      </c>
      <c r="C1596" s="5" t="s">
        <v>591</v>
      </c>
      <c r="D1596" s="6" t="n">
        <v>0.122043863955254</v>
      </c>
      <c r="E1596" s="6" t="n">
        <v>0.0411311339658161</v>
      </c>
      <c r="F1596" s="7" t="n">
        <v>0.0030053578113386</v>
      </c>
    </row>
    <row r="1597" customFormat="false" ht="15" hidden="false" customHeight="true" outlineLevel="0" collapsed="false">
      <c r="A1597" s="5" t="s">
        <v>88</v>
      </c>
      <c r="B1597" s="5" t="s">
        <v>83</v>
      </c>
      <c r="C1597" s="5" t="s">
        <v>592</v>
      </c>
      <c r="D1597" s="6" t="n">
        <v>0.121621376733305</v>
      </c>
      <c r="E1597" s="6" t="n">
        <v>0.0411504528493343</v>
      </c>
      <c r="F1597" s="7" t="n">
        <v>0.00312132860357191</v>
      </c>
    </row>
    <row r="1598" customFormat="false" ht="15" hidden="false" customHeight="true" outlineLevel="0" collapsed="false">
      <c r="A1598" s="5" t="s">
        <v>88</v>
      </c>
      <c r="B1598" s="5" t="s">
        <v>83</v>
      </c>
      <c r="C1598" s="5" t="s">
        <v>593</v>
      </c>
      <c r="D1598" s="6" t="n">
        <v>0.121471844674109</v>
      </c>
      <c r="E1598" s="6" t="n">
        <v>0.0411314457878245</v>
      </c>
      <c r="F1598" s="7" t="n">
        <v>0.00314437225585614</v>
      </c>
    </row>
    <row r="1599" customFormat="false" ht="15" hidden="false" customHeight="true" outlineLevel="0" collapsed="false">
      <c r="A1599" s="5" t="s">
        <v>88</v>
      </c>
      <c r="B1599" s="5" t="s">
        <v>83</v>
      </c>
      <c r="C1599" s="5" t="s">
        <v>594</v>
      </c>
      <c r="D1599" s="6" t="n">
        <v>0.118323609918527</v>
      </c>
      <c r="E1599" s="6" t="n">
        <v>0.0409372775403348</v>
      </c>
      <c r="F1599" s="7" t="n">
        <v>0.00384796685973463</v>
      </c>
    </row>
    <row r="1600" customFormat="false" ht="15" hidden="false" customHeight="true" outlineLevel="0" collapsed="false">
      <c r="A1600" s="5" t="s">
        <v>88</v>
      </c>
      <c r="B1600" s="5" t="s">
        <v>83</v>
      </c>
      <c r="C1600" s="5" t="s">
        <v>595</v>
      </c>
      <c r="D1600" s="6" t="n">
        <v>0.119833642415213</v>
      </c>
      <c r="E1600" s="6" t="n">
        <v>0.0410378929782499</v>
      </c>
      <c r="F1600" s="7" t="n">
        <v>0.00349949424302966</v>
      </c>
    </row>
    <row r="1601" customFormat="false" ht="15" hidden="false" customHeight="true" outlineLevel="0" collapsed="false">
      <c r="A1601" s="5" t="s">
        <v>88</v>
      </c>
      <c r="B1601" s="5" t="s">
        <v>83</v>
      </c>
      <c r="C1601" s="5" t="s">
        <v>596</v>
      </c>
      <c r="D1601" s="6" t="n">
        <v>0.122436016387006</v>
      </c>
      <c r="E1601" s="6" t="n">
        <v>0.0411366987559872</v>
      </c>
      <c r="F1601" s="7" t="n">
        <v>0.00291729422360216</v>
      </c>
    </row>
    <row r="1602" customFormat="false" ht="15" hidden="false" customHeight="true" outlineLevel="0" collapsed="false">
      <c r="A1602" s="5" t="s">
        <v>88</v>
      </c>
      <c r="B1602" s="5" t="s">
        <v>83</v>
      </c>
      <c r="C1602" s="5" t="s">
        <v>597</v>
      </c>
      <c r="D1602" s="6" t="n">
        <v>0.122728396263143</v>
      </c>
      <c r="E1602" s="6" t="n">
        <v>0.0411064525127206</v>
      </c>
      <c r="F1602" s="7" t="n">
        <v>0.00283000710632115</v>
      </c>
    </row>
    <row r="1603" customFormat="false" ht="15" hidden="false" customHeight="true" outlineLevel="0" collapsed="false">
      <c r="A1603" s="5" t="s">
        <v>88</v>
      </c>
      <c r="B1603" s="5" t="s">
        <v>83</v>
      </c>
      <c r="C1603" s="5" t="s">
        <v>598</v>
      </c>
      <c r="D1603" s="6" t="n">
        <v>0.120580112185359</v>
      </c>
      <c r="E1603" s="6" t="n">
        <v>0.0411513402965583</v>
      </c>
      <c r="F1603" s="7" t="n">
        <v>0.00338784840316191</v>
      </c>
    </row>
    <row r="1604" customFormat="false" ht="15" hidden="false" customHeight="true" outlineLevel="0" collapsed="false">
      <c r="A1604" s="5" t="s">
        <v>88</v>
      </c>
      <c r="B1604" s="5" t="s">
        <v>83</v>
      </c>
      <c r="C1604" s="5" t="s">
        <v>599</v>
      </c>
      <c r="D1604" s="6" t="n">
        <v>0.12321196535793</v>
      </c>
      <c r="E1604" s="6" t="n">
        <v>0.0410802608573476</v>
      </c>
      <c r="F1604" s="7" t="n">
        <v>0.00270602036610396</v>
      </c>
    </row>
    <row r="1605" customFormat="false" ht="15" hidden="false" customHeight="true" outlineLevel="0" collapsed="false">
      <c r="A1605" s="5" t="s">
        <v>88</v>
      </c>
      <c r="B1605" s="5" t="s">
        <v>83</v>
      </c>
      <c r="C1605" s="5" t="s">
        <v>600</v>
      </c>
      <c r="D1605" s="6" t="n">
        <v>0.123295103117095</v>
      </c>
      <c r="E1605" s="6" t="n">
        <v>0.0411668259260192</v>
      </c>
      <c r="F1605" s="7" t="n">
        <v>0.00274434799631653</v>
      </c>
    </row>
    <row r="1606" customFormat="false" ht="15" hidden="false" customHeight="true" outlineLevel="0" collapsed="false">
      <c r="A1606" s="5" t="s">
        <v>88</v>
      </c>
      <c r="B1606" s="5" t="s">
        <v>83</v>
      </c>
      <c r="C1606" s="5" t="s">
        <v>601</v>
      </c>
      <c r="D1606" s="6" t="n">
        <v>0.122642944585619</v>
      </c>
      <c r="E1606" s="6" t="n">
        <v>0.0411085112411297</v>
      </c>
      <c r="F1606" s="7" t="n">
        <v>0.0028506942853061</v>
      </c>
    </row>
    <row r="1607" customFormat="false" ht="15" hidden="false" customHeight="true" outlineLevel="0" collapsed="false">
      <c r="A1607" s="5" t="s">
        <v>88</v>
      </c>
      <c r="B1607" s="5" t="s">
        <v>83</v>
      </c>
      <c r="C1607" s="5" t="s">
        <v>602</v>
      </c>
      <c r="D1607" s="6" t="n">
        <v>0.122608274879048</v>
      </c>
      <c r="E1607" s="6" t="n">
        <v>0.0411084804712134</v>
      </c>
      <c r="F1607" s="7" t="n">
        <v>0.00285853943277172</v>
      </c>
    </row>
    <row r="1608" customFormat="false" ht="15" hidden="false" customHeight="true" outlineLevel="0" collapsed="false">
      <c r="A1608" s="5" t="s">
        <v>88</v>
      </c>
      <c r="B1608" s="5" t="s">
        <v>83</v>
      </c>
      <c r="C1608" s="5" t="s">
        <v>603</v>
      </c>
      <c r="D1608" s="6" t="n">
        <v>0.123059686004481</v>
      </c>
      <c r="E1608" s="6" t="n">
        <v>0.0411063660541146</v>
      </c>
      <c r="F1608" s="7" t="n">
        <v>0.0027562651562231</v>
      </c>
    </row>
    <row r="1609" customFormat="false" ht="15" hidden="false" customHeight="true" outlineLevel="0" collapsed="false">
      <c r="A1609" s="5" t="s">
        <v>88</v>
      </c>
      <c r="B1609" s="5" t="s">
        <v>83</v>
      </c>
      <c r="C1609" s="5" t="s">
        <v>604</v>
      </c>
      <c r="D1609" s="6" t="n">
        <v>0.121938050955871</v>
      </c>
      <c r="E1609" s="6" t="n">
        <v>0.0411697135416546</v>
      </c>
      <c r="F1609" s="7" t="n">
        <v>0.00305807939171499</v>
      </c>
    </row>
    <row r="1610" customFormat="false" ht="15" hidden="false" customHeight="true" outlineLevel="0" collapsed="false">
      <c r="A1610" s="5" t="s">
        <v>88</v>
      </c>
      <c r="B1610" s="5" t="s">
        <v>83</v>
      </c>
      <c r="C1610" s="5" t="s">
        <v>605</v>
      </c>
      <c r="D1610" s="6" t="n">
        <v>0.124151485936226</v>
      </c>
      <c r="E1610" s="6" t="n">
        <v>0.0410207601310367</v>
      </c>
      <c r="F1610" s="7" t="n">
        <v>0.00247359825260721</v>
      </c>
    </row>
    <row r="1611" customFormat="false" ht="15" hidden="false" customHeight="true" outlineLevel="0" collapsed="false">
      <c r="A1611" s="5" t="s">
        <v>88</v>
      </c>
      <c r="B1611" s="5" t="s">
        <v>83</v>
      </c>
      <c r="C1611" s="5" t="s">
        <v>606</v>
      </c>
      <c r="D1611" s="6" t="n">
        <v>0.119056424987203</v>
      </c>
      <c r="E1611" s="6" t="n">
        <v>0.0410424741819837</v>
      </c>
      <c r="F1611" s="7" t="n">
        <v>0.0037219932375549</v>
      </c>
    </row>
    <row r="1612" customFormat="false" ht="15" hidden="false" customHeight="true" outlineLevel="0" collapsed="false">
      <c r="A1612" s="5" t="s">
        <v>88</v>
      </c>
      <c r="B1612" s="5" t="s">
        <v>83</v>
      </c>
      <c r="C1612" s="5" t="s">
        <v>607</v>
      </c>
      <c r="D1612" s="6" t="n">
        <v>0.119005707221352</v>
      </c>
      <c r="E1612" s="6" t="n">
        <v>0.0411692715114844</v>
      </c>
      <c r="F1612" s="7" t="n">
        <v>0.0038445336791055</v>
      </c>
    </row>
    <row r="1613" customFormat="false" ht="15" hidden="false" customHeight="true" outlineLevel="0" collapsed="false">
      <c r="A1613" s="5" t="s">
        <v>88</v>
      </c>
      <c r="B1613" s="5" t="s">
        <v>83</v>
      </c>
      <c r="C1613" s="5" t="s">
        <v>608</v>
      </c>
      <c r="D1613" s="6" t="n">
        <v>0.12131237087448</v>
      </c>
      <c r="E1613" s="6" t="n">
        <v>0.0411219801533596</v>
      </c>
      <c r="F1613" s="7" t="n">
        <v>0.00317710670217054</v>
      </c>
    </row>
    <row r="1614" customFormat="false" ht="15" hidden="false" customHeight="true" outlineLevel="0" collapsed="false">
      <c r="A1614" s="5" t="s">
        <v>88</v>
      </c>
      <c r="B1614" s="5" t="s">
        <v>83</v>
      </c>
      <c r="C1614" s="5" t="s">
        <v>609</v>
      </c>
      <c r="D1614" s="6" t="n">
        <v>0.121232391373778</v>
      </c>
      <c r="E1614" s="6" t="n">
        <v>0.0411402955198756</v>
      </c>
      <c r="F1614" s="7" t="n">
        <v>0.00321076544498539</v>
      </c>
    </row>
    <row r="1615" customFormat="false" ht="15" hidden="false" customHeight="true" outlineLevel="0" collapsed="false">
      <c r="A1615" s="5" t="s">
        <v>88</v>
      </c>
      <c r="B1615" s="5" t="s">
        <v>83</v>
      </c>
      <c r="C1615" s="5" t="s">
        <v>610</v>
      </c>
      <c r="D1615" s="6" t="n">
        <v>0.119725881324372</v>
      </c>
      <c r="E1615" s="6" t="n">
        <v>0.04110221311181</v>
      </c>
      <c r="F1615" s="7" t="n">
        <v>0.00358110325350678</v>
      </c>
    </row>
    <row r="1616" customFormat="false" ht="15" hidden="false" customHeight="true" outlineLevel="0" collapsed="false">
      <c r="A1616" s="5" t="s">
        <v>88</v>
      </c>
      <c r="B1616" s="5" t="s">
        <v>83</v>
      </c>
      <c r="C1616" s="5" t="s">
        <v>611</v>
      </c>
      <c r="D1616" s="6" t="n">
        <v>0.120807754957661</v>
      </c>
      <c r="E1616" s="6" t="n">
        <v>0.0411785404454498</v>
      </c>
      <c r="F1616" s="7" t="n">
        <v>0.00334888279947962</v>
      </c>
    </row>
    <row r="1617" customFormat="false" ht="15" hidden="false" customHeight="true" outlineLevel="0" collapsed="false">
      <c r="A1617" s="5" t="s">
        <v>88</v>
      </c>
      <c r="B1617" s="5" t="s">
        <v>83</v>
      </c>
      <c r="C1617" s="5" t="s">
        <v>612</v>
      </c>
      <c r="D1617" s="6" t="n">
        <v>0.1222832413587</v>
      </c>
      <c r="E1617" s="6" t="n">
        <v>0.0411430410258088</v>
      </c>
      <c r="F1617" s="7" t="n">
        <v>0.00295723291143539</v>
      </c>
    </row>
    <row r="1618" customFormat="false" ht="15" hidden="false" customHeight="true" outlineLevel="0" collapsed="false">
      <c r="A1618" s="5" t="s">
        <v>88</v>
      </c>
      <c r="B1618" s="5" t="s">
        <v>83</v>
      </c>
      <c r="C1618" s="5" t="s">
        <v>613</v>
      </c>
      <c r="D1618" s="6" t="n">
        <v>0.120605821771045</v>
      </c>
      <c r="E1618" s="6" t="n">
        <v>0.041131898238292</v>
      </c>
      <c r="F1618" s="7" t="n">
        <v>0.0033659970446604</v>
      </c>
    </row>
    <row r="1619" customFormat="false" ht="15" hidden="false" customHeight="true" outlineLevel="0" collapsed="false">
      <c r="A1619" s="5" t="s">
        <v>88</v>
      </c>
      <c r="B1619" s="5" t="s">
        <v>83</v>
      </c>
      <c r="C1619" s="5" t="s">
        <v>614</v>
      </c>
      <c r="D1619" s="6" t="n">
        <v>0.120871451408262</v>
      </c>
      <c r="E1619" s="6" t="n">
        <v>0.0411740004019257</v>
      </c>
      <c r="F1619" s="7" t="n">
        <v>0.00332875775321466</v>
      </c>
    </row>
    <row r="1620" customFormat="false" ht="15" hidden="false" customHeight="true" outlineLevel="0" collapsed="false">
      <c r="A1620" s="5" t="s">
        <v>88</v>
      </c>
      <c r="B1620" s="5" t="s">
        <v>83</v>
      </c>
      <c r="C1620" s="5" t="s">
        <v>615</v>
      </c>
      <c r="D1620" s="6" t="n">
        <v>0.12449705735136</v>
      </c>
      <c r="E1620" s="6" t="n">
        <v>0.0409186256261657</v>
      </c>
      <c r="F1620" s="7" t="n">
        <v>0.0023458107162823</v>
      </c>
    </row>
    <row r="1621" customFormat="false" ht="15" hidden="false" customHeight="true" outlineLevel="0" collapsed="false">
      <c r="A1621" s="5" t="s">
        <v>88</v>
      </c>
      <c r="B1621" s="5" t="s">
        <v>83</v>
      </c>
      <c r="C1621" s="5" t="s">
        <v>616</v>
      </c>
      <c r="D1621" s="6" t="n">
        <v>0.123091317367438</v>
      </c>
      <c r="E1621" s="6" t="n">
        <v>0.0410897618628718</v>
      </c>
      <c r="F1621" s="7" t="n">
        <v>0.00273843693801067</v>
      </c>
    </row>
    <row r="1622" customFormat="false" ht="15" hidden="false" customHeight="true" outlineLevel="0" collapsed="false">
      <c r="A1622" s="5" t="s">
        <v>88</v>
      </c>
      <c r="B1622" s="5" t="s">
        <v>83</v>
      </c>
      <c r="C1622" s="5" t="s">
        <v>617</v>
      </c>
      <c r="D1622" s="6" t="n">
        <v>0.122277844592259</v>
      </c>
      <c r="E1622" s="6" t="n">
        <v>0.0411323561947499</v>
      </c>
      <c r="F1622" s="7" t="n">
        <v>0.00295106577068968</v>
      </c>
    </row>
    <row r="1623" customFormat="false" ht="15" hidden="false" customHeight="true" outlineLevel="0" collapsed="false">
      <c r="A1623" s="5" t="s">
        <v>88</v>
      </c>
      <c r="B1623" s="5" t="s">
        <v>83</v>
      </c>
      <c r="C1623" s="5" t="s">
        <v>618</v>
      </c>
      <c r="D1623" s="6" t="n">
        <v>0.117391581002436</v>
      </c>
      <c r="E1623" s="6" t="n">
        <v>0.0409467537452283</v>
      </c>
      <c r="F1623" s="7" t="n">
        <v>0.00414471341136125</v>
      </c>
    </row>
    <row r="1624" customFormat="false" ht="15" hidden="false" customHeight="true" outlineLevel="0" collapsed="false">
      <c r="A1624" s="5" t="s">
        <v>88</v>
      </c>
      <c r="B1624" s="5" t="s">
        <v>83</v>
      </c>
      <c r="C1624" s="5" t="s">
        <v>619</v>
      </c>
      <c r="D1624" s="6" t="n">
        <v>0.120947079594928</v>
      </c>
      <c r="E1624" s="6" t="n">
        <v>0.0411919229922587</v>
      </c>
      <c r="F1624" s="7" t="n">
        <v>0.00332276792393204</v>
      </c>
    </row>
    <row r="1625" customFormat="false" ht="15" hidden="false" customHeight="true" outlineLevel="0" collapsed="false">
      <c r="A1625" s="5" t="s">
        <v>88</v>
      </c>
      <c r="B1625" s="5" t="s">
        <v>83</v>
      </c>
      <c r="C1625" s="5" t="s">
        <v>620</v>
      </c>
      <c r="D1625" s="6" t="n">
        <v>0.12099151726345</v>
      </c>
      <c r="E1625" s="6" t="n">
        <v>0.0411307279615057</v>
      </c>
      <c r="F1625" s="7" t="n">
        <v>0.00326486336308199</v>
      </c>
    </row>
    <row r="1626" customFormat="false" ht="15" hidden="false" customHeight="true" outlineLevel="0" collapsed="false">
      <c r="A1626" s="5" t="s">
        <v>88</v>
      </c>
      <c r="B1626" s="5" t="s">
        <v>83</v>
      </c>
      <c r="C1626" s="5" t="s">
        <v>621</v>
      </c>
      <c r="D1626" s="6" t="n">
        <v>0.121191122502496</v>
      </c>
      <c r="E1626" s="6" t="n">
        <v>0.0411481293250338</v>
      </c>
      <c r="F1626" s="7" t="n">
        <v>0.00322704085420155</v>
      </c>
    </row>
    <row r="1627" customFormat="false" ht="15" hidden="false" customHeight="true" outlineLevel="0" collapsed="false">
      <c r="A1627" s="5" t="s">
        <v>88</v>
      </c>
      <c r="B1627" s="5" t="s">
        <v>83</v>
      </c>
      <c r="C1627" s="5" t="s">
        <v>622</v>
      </c>
      <c r="D1627" s="6" t="n">
        <v>0.123037150857536</v>
      </c>
      <c r="E1627" s="6" t="n">
        <v>0.0410967685622999</v>
      </c>
      <c r="F1627" s="7" t="n">
        <v>0.00275490343727401</v>
      </c>
    </row>
    <row r="1628" customFormat="false" ht="15" hidden="false" customHeight="true" outlineLevel="0" collapsed="false">
      <c r="A1628" s="5" t="s">
        <v>88</v>
      </c>
      <c r="B1628" s="5" t="s">
        <v>83</v>
      </c>
      <c r="C1628" s="5" t="s">
        <v>623</v>
      </c>
      <c r="D1628" s="6" t="n">
        <v>0.123409438253207</v>
      </c>
      <c r="E1628" s="6" t="n">
        <v>0.0410611958198906</v>
      </c>
      <c r="F1628" s="7" t="n">
        <v>0.0026514429421909</v>
      </c>
    </row>
    <row r="1629" customFormat="false" ht="15" hidden="false" customHeight="true" outlineLevel="0" collapsed="false">
      <c r="A1629" s="5" t="s">
        <v>88</v>
      </c>
      <c r="B1629" s="5" t="s">
        <v>83</v>
      </c>
      <c r="C1629" s="5" t="s">
        <v>624</v>
      </c>
      <c r="D1629" s="6" t="n">
        <v>0.120248459334239</v>
      </c>
      <c r="E1629" s="6" t="n">
        <v>0.0410794594955265</v>
      </c>
      <c r="F1629" s="7" t="n">
        <v>0.00342011039554338</v>
      </c>
    </row>
    <row r="1630" customFormat="false" ht="15" hidden="false" customHeight="true" outlineLevel="0" collapsed="false">
      <c r="A1630" s="5" t="s">
        <v>88</v>
      </c>
      <c r="B1630" s="5" t="s">
        <v>83</v>
      </c>
      <c r="C1630" s="5" t="s">
        <v>625</v>
      </c>
      <c r="D1630" s="6" t="n">
        <v>0.123362628996071</v>
      </c>
      <c r="E1630" s="6" t="n">
        <v>0.0410714965326774</v>
      </c>
      <c r="F1630" s="7" t="n">
        <v>0.00266799830837381</v>
      </c>
    </row>
    <row r="1631" customFormat="false" ht="15" hidden="false" customHeight="true" outlineLevel="0" collapsed="false">
      <c r="A1631" s="5" t="s">
        <v>88</v>
      </c>
      <c r="B1631" s="5" t="s">
        <v>83</v>
      </c>
      <c r="C1631" s="5" t="s">
        <v>626</v>
      </c>
      <c r="D1631" s="6" t="n">
        <v>0.118321918414762</v>
      </c>
      <c r="E1631" s="6" t="n">
        <v>0.0410624680720287</v>
      </c>
      <c r="F1631" s="7" t="n">
        <v>0.00395774491016295</v>
      </c>
    </row>
    <row r="1632" customFormat="false" ht="15" hidden="false" customHeight="true" outlineLevel="0" collapsed="false">
      <c r="A1632" s="5" t="s">
        <v>88</v>
      </c>
      <c r="B1632" s="5" t="s">
        <v>83</v>
      </c>
      <c r="C1632" s="5" t="s">
        <v>627</v>
      </c>
      <c r="D1632" s="6" t="n">
        <v>0.124225645142992</v>
      </c>
      <c r="E1632" s="6" t="n">
        <v>0.0410552429249263</v>
      </c>
      <c r="F1632" s="7" t="n">
        <v>0.0024796246470392</v>
      </c>
    </row>
    <row r="1633" customFormat="false" ht="15" hidden="false" customHeight="true" outlineLevel="0" collapsed="false">
      <c r="A1633" s="5" t="s">
        <v>88</v>
      </c>
      <c r="B1633" s="5" t="s">
        <v>83</v>
      </c>
      <c r="C1633" s="5" t="s">
        <v>628</v>
      </c>
      <c r="D1633" s="6" t="n">
        <v>0.127085032525624</v>
      </c>
      <c r="E1633" s="6" t="n">
        <v>0.041325986764841</v>
      </c>
      <c r="F1633" s="7" t="n">
        <v>0.00210372396101036</v>
      </c>
    </row>
    <row r="1634" customFormat="false" ht="15" hidden="false" customHeight="true" outlineLevel="0" collapsed="false">
      <c r="A1634" s="5" t="s">
        <v>88</v>
      </c>
      <c r="B1634" s="5" t="s">
        <v>83</v>
      </c>
      <c r="C1634" s="5" t="s">
        <v>629</v>
      </c>
      <c r="D1634" s="6" t="n">
        <v>0.11897795226623</v>
      </c>
      <c r="E1634" s="6" t="n">
        <v>0.0411030157618611</v>
      </c>
      <c r="F1634" s="7" t="n">
        <v>0.00379607754056426</v>
      </c>
    </row>
    <row r="1635" customFormat="false" ht="15" hidden="false" customHeight="true" outlineLevel="0" collapsed="false">
      <c r="A1635" s="5" t="s">
        <v>88</v>
      </c>
      <c r="B1635" s="5" t="s">
        <v>83</v>
      </c>
      <c r="C1635" s="5" t="s">
        <v>630</v>
      </c>
      <c r="D1635" s="6" t="n">
        <v>0.119697752503504</v>
      </c>
      <c r="E1635" s="6" t="n">
        <v>0.0410487164793811</v>
      </c>
      <c r="F1635" s="7" t="n">
        <v>0.0035455893758537</v>
      </c>
    </row>
    <row r="1636" customFormat="false" ht="15" hidden="false" customHeight="true" outlineLevel="0" collapsed="false">
      <c r="A1636" s="5" t="s">
        <v>88</v>
      </c>
      <c r="B1636" s="5" t="s">
        <v>83</v>
      </c>
      <c r="C1636" s="5" t="s">
        <v>631</v>
      </c>
      <c r="D1636" s="6" t="n">
        <v>0.120037125509701</v>
      </c>
      <c r="E1636" s="6" t="n">
        <v>0.0411238659802585</v>
      </c>
      <c r="F1636" s="7" t="n">
        <v>0.00351250445489063</v>
      </c>
    </row>
    <row r="1637" customFormat="false" ht="15" hidden="false" customHeight="true" outlineLevel="0" collapsed="false">
      <c r="A1637" s="5" t="s">
        <v>88</v>
      </c>
      <c r="B1637" s="5" t="s">
        <v>83</v>
      </c>
      <c r="C1637" s="5" t="s">
        <v>785</v>
      </c>
      <c r="D1637" s="6" t="n">
        <v>0.121664730829702</v>
      </c>
      <c r="E1637" s="6" t="n">
        <v>0.0411349817962287</v>
      </c>
      <c r="F1637" s="7" t="n">
        <v>0.00309948616159186</v>
      </c>
    </row>
    <row r="1638" customFormat="false" ht="15" hidden="false" customHeight="true" outlineLevel="0" collapsed="false">
      <c r="A1638" s="5" t="s">
        <v>88</v>
      </c>
      <c r="B1638" s="5" t="s">
        <v>83</v>
      </c>
      <c r="C1638" s="5" t="s">
        <v>786</v>
      </c>
      <c r="D1638" s="6" t="n">
        <v>0.118711554072106</v>
      </c>
      <c r="E1638" s="6" t="n">
        <v>0.0409862605243264</v>
      </c>
      <c r="F1638" s="7" t="n">
        <v>0.00377501770692854</v>
      </c>
    </row>
    <row r="1639" customFormat="false" ht="15" hidden="false" customHeight="true" outlineLevel="0" collapsed="false">
      <c r="A1639" s="5" t="s">
        <v>88</v>
      </c>
      <c r="B1639" s="5" t="s">
        <v>83</v>
      </c>
      <c r="C1639" s="5" t="s">
        <v>632</v>
      </c>
      <c r="D1639" s="6" t="n">
        <v>0.122541063680379</v>
      </c>
      <c r="E1639" s="6" t="n">
        <v>0.0411428956737267</v>
      </c>
      <c r="F1639" s="7" t="n">
        <v>0.00289733132115492</v>
      </c>
    </row>
    <row r="1640" customFormat="false" ht="15" hidden="false" customHeight="true" outlineLevel="0" collapsed="false">
      <c r="A1640" s="5" t="s">
        <v>88</v>
      </c>
      <c r="B1640" s="5" t="s">
        <v>83</v>
      </c>
      <c r="C1640" s="5" t="s">
        <v>633</v>
      </c>
      <c r="D1640" s="6" t="n">
        <v>0.12397945111357</v>
      </c>
      <c r="E1640" s="6" t="n">
        <v>0.0410694651833118</v>
      </c>
      <c r="F1640" s="7" t="n">
        <v>0.00253799427146853</v>
      </c>
    </row>
    <row r="1641" customFormat="false" ht="15" hidden="false" customHeight="true" outlineLevel="0" collapsed="false">
      <c r="A1641" s="5" t="s">
        <v>88</v>
      </c>
      <c r="B1641" s="5" t="s">
        <v>83</v>
      </c>
      <c r="C1641" s="5" t="s">
        <v>634</v>
      </c>
      <c r="D1641" s="6" t="n">
        <v>0.123300627333117</v>
      </c>
      <c r="E1641" s="6" t="n">
        <v>0.0411236090385665</v>
      </c>
      <c r="F1641" s="7" t="n">
        <v>0.00271496557983949</v>
      </c>
    </row>
    <row r="1642" customFormat="false" ht="15" hidden="false" customHeight="true" outlineLevel="0" collapsed="false">
      <c r="A1642" s="5" t="s">
        <v>88</v>
      </c>
      <c r="B1642" s="5" t="s">
        <v>83</v>
      </c>
      <c r="C1642" s="5" t="s">
        <v>635</v>
      </c>
      <c r="D1642" s="6" t="n">
        <v>0.119503745797133</v>
      </c>
      <c r="E1642" s="6" t="n">
        <v>0.0410544857625375</v>
      </c>
      <c r="F1642" s="7" t="n">
        <v>0.00360438699501843</v>
      </c>
    </row>
    <row r="1643" customFormat="false" ht="15" hidden="false" customHeight="true" outlineLevel="0" collapsed="false">
      <c r="A1643" s="5" t="s">
        <v>88</v>
      </c>
      <c r="B1643" s="5" t="s">
        <v>83</v>
      </c>
      <c r="C1643" s="5" t="s">
        <v>636</v>
      </c>
      <c r="D1643" s="6" t="n">
        <v>0.11928342196882</v>
      </c>
      <c r="E1643" s="6" t="n">
        <v>0.0411444758152312</v>
      </c>
      <c r="F1643" s="7" t="n">
        <v>0.00374192810300733</v>
      </c>
    </row>
    <row r="1644" customFormat="false" ht="15" hidden="false" customHeight="true" outlineLevel="0" collapsed="false">
      <c r="A1644" s="5" t="s">
        <v>88</v>
      </c>
      <c r="B1644" s="5" t="s">
        <v>83</v>
      </c>
      <c r="C1644" s="5" t="s">
        <v>637</v>
      </c>
      <c r="D1644" s="6" t="n">
        <v>0.121466902919797</v>
      </c>
      <c r="E1644" s="6" t="n">
        <v>0.041135852876139</v>
      </c>
      <c r="F1644" s="7" t="n">
        <v>0.00314882196416797</v>
      </c>
    </row>
    <row r="1645" customFormat="false" ht="15" hidden="false" customHeight="true" outlineLevel="0" collapsed="false">
      <c r="A1645" s="5" t="s">
        <v>88</v>
      </c>
      <c r="B1645" s="5" t="s">
        <v>83</v>
      </c>
      <c r="C1645" s="5" t="s">
        <v>638</v>
      </c>
      <c r="D1645" s="6" t="n">
        <v>0.114981986290465</v>
      </c>
      <c r="E1645" s="6" t="n">
        <v>0.0414300729742963</v>
      </c>
      <c r="F1645" s="7" t="n">
        <v>0.00551462864389352</v>
      </c>
    </row>
    <row r="1646" customFormat="false" ht="15" hidden="false" customHeight="true" outlineLevel="0" collapsed="false">
      <c r="A1646" s="5" t="s">
        <v>88</v>
      </c>
      <c r="B1646" s="5" t="s">
        <v>83</v>
      </c>
      <c r="C1646" s="5" t="s">
        <v>639</v>
      </c>
      <c r="D1646" s="6" t="n">
        <v>0.123631503587901</v>
      </c>
      <c r="E1646" s="6" t="n">
        <v>0.0411193262415927</v>
      </c>
      <c r="F1646" s="7" t="n">
        <v>0.00264141979141024</v>
      </c>
    </row>
    <row r="1647" customFormat="false" ht="15" hidden="false" customHeight="true" outlineLevel="0" collapsed="false">
      <c r="A1647" s="5" t="s">
        <v>88</v>
      </c>
      <c r="B1647" s="5" t="s">
        <v>83</v>
      </c>
      <c r="C1647" s="5" t="s">
        <v>640</v>
      </c>
      <c r="D1647" s="6" t="n">
        <v>0.123942195434916</v>
      </c>
      <c r="E1647" s="6" t="n">
        <v>0.0409949911067471</v>
      </c>
      <c r="F1647" s="7" t="n">
        <v>0.00249993147827668</v>
      </c>
    </row>
    <row r="1648" customFormat="false" ht="15" hidden="false" customHeight="true" outlineLevel="0" collapsed="false">
      <c r="A1648" s="5" t="s">
        <v>88</v>
      </c>
      <c r="B1648" s="5" t="s">
        <v>83</v>
      </c>
      <c r="C1648" s="5" t="s">
        <v>641</v>
      </c>
      <c r="D1648" s="6" t="n">
        <v>0.119788901992639</v>
      </c>
      <c r="E1648" s="6" t="n">
        <v>0.0410410226110446</v>
      </c>
      <c r="F1648" s="7" t="n">
        <v>0.00351426486039474</v>
      </c>
    </row>
    <row r="1649" customFormat="false" ht="15" hidden="false" customHeight="true" outlineLevel="0" collapsed="false">
      <c r="A1649" s="5" t="s">
        <v>88</v>
      </c>
      <c r="B1649" s="5" t="s">
        <v>83</v>
      </c>
      <c r="C1649" s="5" t="s">
        <v>642</v>
      </c>
      <c r="D1649" s="6" t="n">
        <v>0.122013811649251</v>
      </c>
      <c r="E1649" s="6" t="n">
        <v>0.0411420696001261</v>
      </c>
      <c r="F1649" s="7" t="n">
        <v>0.00302024131687413</v>
      </c>
    </row>
    <row r="1650" customFormat="false" ht="15" hidden="false" customHeight="true" outlineLevel="0" collapsed="false">
      <c r="A1650" s="5" t="s">
        <v>88</v>
      </c>
      <c r="B1650" s="5" t="s">
        <v>83</v>
      </c>
      <c r="C1650" s="5" t="s">
        <v>643</v>
      </c>
      <c r="D1650" s="6" t="n">
        <v>0.123623473224405</v>
      </c>
      <c r="E1650" s="6" t="n">
        <v>0.041085303158557</v>
      </c>
      <c r="F1650" s="7" t="n">
        <v>0.00262155399537074</v>
      </c>
    </row>
    <row r="1651" customFormat="false" ht="15" hidden="false" customHeight="true" outlineLevel="0" collapsed="false">
      <c r="A1651" s="5" t="s">
        <v>88</v>
      </c>
      <c r="B1651" s="5" t="s">
        <v>83</v>
      </c>
      <c r="C1651" s="5" t="s">
        <v>644</v>
      </c>
      <c r="D1651" s="6" t="n">
        <v>0.121269598905773</v>
      </c>
      <c r="E1651" s="6" t="n">
        <v>0.0411270549601848</v>
      </c>
      <c r="F1651" s="7" t="n">
        <v>0.00319157469902981</v>
      </c>
    </row>
    <row r="1652" customFormat="false" ht="15" hidden="false" customHeight="true" outlineLevel="0" collapsed="false">
      <c r="A1652" s="5" t="s">
        <v>88</v>
      </c>
      <c r="B1652" s="5" t="s">
        <v>83</v>
      </c>
      <c r="C1652" s="5" t="s">
        <v>645</v>
      </c>
      <c r="D1652" s="6" t="n">
        <v>0.120945752615684</v>
      </c>
      <c r="E1652" s="6" t="n">
        <v>0.0411252901713929</v>
      </c>
      <c r="F1652" s="7" t="n">
        <v>0.00327250230108579</v>
      </c>
    </row>
    <row r="1653" customFormat="false" ht="15" hidden="false" customHeight="true" outlineLevel="0" collapsed="false">
      <c r="A1653" s="5" t="s">
        <v>88</v>
      </c>
      <c r="B1653" s="5" t="s">
        <v>83</v>
      </c>
      <c r="C1653" s="5" t="s">
        <v>646</v>
      </c>
      <c r="D1653" s="6" t="n">
        <v>0.121804829065216</v>
      </c>
      <c r="E1653" s="6" t="n">
        <v>0.0411327231346815</v>
      </c>
      <c r="F1653" s="7" t="n">
        <v>0.00306379756582038</v>
      </c>
    </row>
    <row r="1654" customFormat="false" ht="15" hidden="false" customHeight="true" outlineLevel="0" collapsed="false">
      <c r="A1654" s="5" t="s">
        <v>88</v>
      </c>
      <c r="B1654" s="5" t="s">
        <v>83</v>
      </c>
      <c r="C1654" s="5" t="s">
        <v>647</v>
      </c>
      <c r="D1654" s="6" t="n">
        <v>0.120799472968267</v>
      </c>
      <c r="E1654" s="6" t="n">
        <v>0.0411458793934794</v>
      </c>
      <c r="F1654" s="7" t="n">
        <v>0.00332600130828667</v>
      </c>
    </row>
    <row r="1655" customFormat="false" ht="15" hidden="false" customHeight="true" outlineLevel="0" collapsed="false">
      <c r="A1655" s="5" t="s">
        <v>88</v>
      </c>
      <c r="B1655" s="5" t="s">
        <v>83</v>
      </c>
      <c r="C1655" s="5" t="s">
        <v>648</v>
      </c>
      <c r="D1655" s="6" t="n">
        <v>0.12401754361796</v>
      </c>
      <c r="E1655" s="6" t="n">
        <v>0.0411035067145475</v>
      </c>
      <c r="F1655" s="7" t="n">
        <v>0.0025512054363355</v>
      </c>
    </row>
    <row r="1656" customFormat="false" ht="15" hidden="false" customHeight="true" outlineLevel="0" collapsed="false">
      <c r="A1656" s="5" t="s">
        <v>88</v>
      </c>
      <c r="B1656" s="5" t="s">
        <v>83</v>
      </c>
      <c r="C1656" s="5" t="s">
        <v>649</v>
      </c>
      <c r="D1656" s="6" t="n">
        <v>0.122763007353716</v>
      </c>
      <c r="E1656" s="6" t="n">
        <v>0.0411117923122465</v>
      </c>
      <c r="F1656" s="7" t="n">
        <v>0.00282580808173249</v>
      </c>
    </row>
    <row r="1657" customFormat="false" ht="15" hidden="false" customHeight="true" outlineLevel="0" collapsed="false">
      <c r="A1657" s="5" t="s">
        <v>88</v>
      </c>
      <c r="B1657" s="5" t="s">
        <v>83</v>
      </c>
      <c r="C1657" s="5" t="s">
        <v>650</v>
      </c>
      <c r="D1657" s="6" t="n">
        <v>0.122086895767283</v>
      </c>
      <c r="E1657" s="6" t="n">
        <v>0.0411626127145155</v>
      </c>
      <c r="F1657" s="7" t="n">
        <v>0.00301734178700386</v>
      </c>
    </row>
    <row r="1658" customFormat="false" ht="15" hidden="false" customHeight="true" outlineLevel="0" collapsed="false">
      <c r="A1658" s="5" t="s">
        <v>88</v>
      </c>
      <c r="B1658" s="5" t="s">
        <v>83</v>
      </c>
      <c r="C1658" s="5" t="s">
        <v>651</v>
      </c>
      <c r="D1658" s="6" t="n">
        <v>0.122200675863154</v>
      </c>
      <c r="E1658" s="6" t="n">
        <v>0.0411217796398069</v>
      </c>
      <c r="F1658" s="7" t="n">
        <v>0.00296177414004442</v>
      </c>
    </row>
    <row r="1659" customFormat="false" ht="15" hidden="false" customHeight="true" outlineLevel="0" collapsed="false">
      <c r="A1659" s="5" t="s">
        <v>88</v>
      </c>
      <c r="B1659" s="5" t="s">
        <v>83</v>
      </c>
      <c r="C1659" s="5" t="s">
        <v>652</v>
      </c>
      <c r="D1659" s="6" t="n">
        <v>0.122093944676267</v>
      </c>
      <c r="E1659" s="6" t="n">
        <v>0.0411335890107272</v>
      </c>
      <c r="F1659" s="7" t="n">
        <v>0.0029952031078789</v>
      </c>
    </row>
    <row r="1660" customFormat="false" ht="15" hidden="false" customHeight="true" outlineLevel="0" collapsed="false">
      <c r="A1660" s="5" t="s">
        <v>88</v>
      </c>
      <c r="B1660" s="5" t="s">
        <v>83</v>
      </c>
      <c r="C1660" s="5" t="s">
        <v>653</v>
      </c>
      <c r="D1660" s="6" t="n">
        <v>0.122087779309393</v>
      </c>
      <c r="E1660" s="6" t="n">
        <v>0.0411273784065467</v>
      </c>
      <c r="F1660" s="7" t="n">
        <v>0.00299229721783045</v>
      </c>
    </row>
    <row r="1661" customFormat="false" ht="15" hidden="false" customHeight="true" outlineLevel="0" collapsed="false">
      <c r="A1661" s="5" t="s">
        <v>88</v>
      </c>
      <c r="B1661" s="5" t="s">
        <v>83</v>
      </c>
      <c r="C1661" s="5" t="s">
        <v>654</v>
      </c>
      <c r="D1661" s="6" t="n">
        <v>0.121865634407475</v>
      </c>
      <c r="E1661" s="6" t="n">
        <v>0.0411411259416414</v>
      </c>
      <c r="F1661" s="7" t="n">
        <v>0.00305512223052023</v>
      </c>
    </row>
    <row r="1662" customFormat="false" ht="15" hidden="false" customHeight="true" outlineLevel="0" collapsed="false">
      <c r="A1662" s="5" t="s">
        <v>88</v>
      </c>
      <c r="B1662" s="5" t="s">
        <v>83</v>
      </c>
      <c r="C1662" s="5" t="s">
        <v>655</v>
      </c>
      <c r="D1662" s="6" t="n">
        <v>0.11832416729876</v>
      </c>
      <c r="E1662" s="6" t="n">
        <v>0.0410796388610551</v>
      </c>
      <c r="F1662" s="7" t="n">
        <v>0.00397220748144349</v>
      </c>
    </row>
    <row r="1663" customFormat="false" ht="15" hidden="false" customHeight="true" outlineLevel="0" collapsed="false">
      <c r="A1663" s="5" t="s">
        <v>88</v>
      </c>
      <c r="B1663" s="5" t="s">
        <v>83</v>
      </c>
      <c r="C1663" s="5" t="s">
        <v>656</v>
      </c>
      <c r="D1663" s="6" t="n">
        <v>0.125747307942781</v>
      </c>
      <c r="E1663" s="6" t="n">
        <v>0.0409440636861762</v>
      </c>
      <c r="F1663" s="7" t="n">
        <v>0.0021320204231501</v>
      </c>
    </row>
    <row r="1664" customFormat="false" ht="15" hidden="false" customHeight="true" outlineLevel="0" collapsed="false">
      <c r="A1664" s="5" t="s">
        <v>88</v>
      </c>
      <c r="B1664" s="5" t="s">
        <v>83</v>
      </c>
      <c r="C1664" s="5" t="s">
        <v>657</v>
      </c>
      <c r="D1664" s="6" t="n">
        <v>0.122888410315141</v>
      </c>
      <c r="E1664" s="6" t="n">
        <v>0.0411047686681005</v>
      </c>
      <c r="F1664" s="7" t="n">
        <v>0.00279307537106961</v>
      </c>
    </row>
    <row r="1665" customFormat="false" ht="15" hidden="false" customHeight="true" outlineLevel="0" collapsed="false">
      <c r="A1665" s="5" t="s">
        <v>88</v>
      </c>
      <c r="B1665" s="5" t="s">
        <v>83</v>
      </c>
      <c r="C1665" s="5" t="s">
        <v>658</v>
      </c>
      <c r="D1665" s="6" t="n">
        <v>0.12588769533891</v>
      </c>
      <c r="E1665" s="6" t="n">
        <v>0.0407069659712198</v>
      </c>
      <c r="F1665" s="7" t="n">
        <v>0.00198455185943683</v>
      </c>
    </row>
    <row r="1666" customFormat="false" ht="15" hidden="false" customHeight="true" outlineLevel="0" collapsed="false">
      <c r="A1666" s="5" t="s">
        <v>88</v>
      </c>
      <c r="B1666" s="5" t="s">
        <v>83</v>
      </c>
      <c r="C1666" s="5" t="s">
        <v>659</v>
      </c>
      <c r="D1666" s="6" t="n">
        <v>0.122437679745238</v>
      </c>
      <c r="E1666" s="6" t="n">
        <v>0.0411071762903445</v>
      </c>
      <c r="F1666" s="7" t="n">
        <v>0.00289664060511691</v>
      </c>
    </row>
    <row r="1667" customFormat="false" ht="15" hidden="false" customHeight="true" outlineLevel="0" collapsed="false">
      <c r="A1667" s="5" t="s">
        <v>88</v>
      </c>
      <c r="B1667" s="5" t="s">
        <v>83</v>
      </c>
      <c r="C1667" s="5" t="s">
        <v>660</v>
      </c>
      <c r="D1667" s="6" t="n">
        <v>0.121237008891927</v>
      </c>
      <c r="E1667" s="6" t="n">
        <v>0.0412425386415897</v>
      </c>
      <c r="F1667" s="7" t="n">
        <v>0.00328624830367481</v>
      </c>
    </row>
    <row r="1668" customFormat="false" ht="15" hidden="false" customHeight="true" outlineLevel="0" collapsed="false">
      <c r="A1668" s="5" t="s">
        <v>88</v>
      </c>
      <c r="B1668" s="5" t="s">
        <v>83</v>
      </c>
      <c r="C1668" s="5" t="s">
        <v>661</v>
      </c>
      <c r="D1668" s="6" t="n">
        <v>0.121689521703696</v>
      </c>
      <c r="E1668" s="6" t="n">
        <v>0.0412884211323228</v>
      </c>
      <c r="F1668" s="7" t="n">
        <v>0.00320558071237595</v>
      </c>
    </row>
    <row r="1669" customFormat="false" ht="15" hidden="false" customHeight="true" outlineLevel="0" collapsed="false">
      <c r="A1669" s="5" t="s">
        <v>88</v>
      </c>
      <c r="B1669" s="5" t="s">
        <v>83</v>
      </c>
      <c r="C1669" s="5" t="s">
        <v>769</v>
      </c>
      <c r="D1669" s="6" t="n">
        <v>0.116485680265518</v>
      </c>
      <c r="E1669" s="6" t="n">
        <v>0.0411169224235375</v>
      </c>
      <c r="F1669" s="7" t="n">
        <v>0.00461083373903093</v>
      </c>
    </row>
    <row r="1670" customFormat="false" ht="15" hidden="false" customHeight="true" outlineLevel="0" collapsed="false">
      <c r="A1670" s="5" t="s">
        <v>88</v>
      </c>
      <c r="B1670" s="5" t="s">
        <v>83</v>
      </c>
      <c r="C1670" s="5" t="s">
        <v>662</v>
      </c>
      <c r="D1670" s="6" t="n">
        <v>0.121755102488961</v>
      </c>
      <c r="E1670" s="6" t="n">
        <v>0.0411356396202992</v>
      </c>
      <c r="F1670" s="7" t="n">
        <v>0.00307794216274987</v>
      </c>
    </row>
    <row r="1671" customFormat="false" ht="15" hidden="false" customHeight="true" outlineLevel="0" collapsed="false">
      <c r="A1671" s="5" t="s">
        <v>88</v>
      </c>
      <c r="B1671" s="5" t="s">
        <v>83</v>
      </c>
      <c r="C1671" s="5" t="s">
        <v>787</v>
      </c>
      <c r="D1671" s="6" t="n">
        <v>0.121947118737468</v>
      </c>
      <c r="E1671" s="6" t="n">
        <v>0.0411228461720004</v>
      </c>
      <c r="F1671" s="7" t="n">
        <v>0.00302255415611103</v>
      </c>
    </row>
    <row r="1672" customFormat="false" ht="15" hidden="false" customHeight="true" outlineLevel="0" collapsed="false">
      <c r="A1672" s="5" t="s">
        <v>88</v>
      </c>
      <c r="B1672" s="5" t="s">
        <v>83</v>
      </c>
      <c r="C1672" s="5" t="s">
        <v>663</v>
      </c>
      <c r="D1672" s="6" t="n">
        <v>0.122433169837853</v>
      </c>
      <c r="E1672" s="6" t="n">
        <v>0.0411178187650894</v>
      </c>
      <c r="F1672" s="7" t="n">
        <v>0.00290497507704036</v>
      </c>
    </row>
    <row r="1673" customFormat="false" ht="15" hidden="false" customHeight="true" outlineLevel="0" collapsed="false">
      <c r="A1673" s="5" t="s">
        <v>88</v>
      </c>
      <c r="B1673" s="5" t="s">
        <v>83</v>
      </c>
      <c r="C1673" s="5" t="s">
        <v>664</v>
      </c>
      <c r="D1673" s="6" t="n">
        <v>0.12654544493719</v>
      </c>
      <c r="E1673" s="6" t="n">
        <v>0.0411693916711921</v>
      </c>
      <c r="F1673" s="7" t="n">
        <v>0.00211368813516579</v>
      </c>
    </row>
    <row r="1674" customFormat="false" ht="15" hidden="false" customHeight="true" outlineLevel="0" collapsed="false">
      <c r="A1674" s="5" t="s">
        <v>88</v>
      </c>
      <c r="B1674" s="5" t="s">
        <v>83</v>
      </c>
      <c r="C1674" s="5" t="s">
        <v>665</v>
      </c>
      <c r="D1674" s="6" t="n">
        <v>0.1223002921102</v>
      </c>
      <c r="E1674" s="6" t="n">
        <v>0.041125006031272</v>
      </c>
      <c r="F1674" s="7" t="n">
        <v>0.00294072652249528</v>
      </c>
    </row>
    <row r="1675" customFormat="false" ht="15" hidden="false" customHeight="true" outlineLevel="0" collapsed="false">
      <c r="A1675" s="5" t="s">
        <v>88</v>
      </c>
      <c r="B1675" s="5" t="s">
        <v>83</v>
      </c>
      <c r="C1675" s="5" t="s">
        <v>666</v>
      </c>
      <c r="D1675" s="6" t="n">
        <v>0.121926580460857</v>
      </c>
      <c r="E1675" s="6" t="n">
        <v>0.0411480492401596</v>
      </c>
      <c r="F1675" s="7" t="n">
        <v>0.00304538474630894</v>
      </c>
    </row>
    <row r="1676" customFormat="false" ht="15" hidden="false" customHeight="true" outlineLevel="0" collapsed="false">
      <c r="A1676" s="5" t="s">
        <v>88</v>
      </c>
      <c r="B1676" s="5" t="s">
        <v>83</v>
      </c>
      <c r="C1676" s="5" t="s">
        <v>667</v>
      </c>
      <c r="D1676" s="6" t="n">
        <v>0.121948759061734</v>
      </c>
      <c r="E1676" s="6" t="n">
        <v>0.0411229387835095</v>
      </c>
      <c r="F1676" s="7" t="n">
        <v>0.00302222784130964</v>
      </c>
    </row>
    <row r="1677" customFormat="false" ht="15" hidden="false" customHeight="true" outlineLevel="0" collapsed="false">
      <c r="A1677" s="5" t="s">
        <v>88</v>
      </c>
      <c r="B1677" s="5" t="s">
        <v>83</v>
      </c>
      <c r="C1677" s="5" t="s">
        <v>668</v>
      </c>
      <c r="D1677" s="6" t="n">
        <v>0.119733111737889</v>
      </c>
      <c r="E1677" s="6" t="n">
        <v>0.0410870415222901</v>
      </c>
      <c r="F1677" s="7" t="n">
        <v>0.0035667768624916</v>
      </c>
    </row>
    <row r="1678" customFormat="false" ht="15" hidden="false" customHeight="true" outlineLevel="0" collapsed="false">
      <c r="A1678" s="5" t="s">
        <v>88</v>
      </c>
      <c r="B1678" s="5" t="s">
        <v>83</v>
      </c>
      <c r="C1678" s="5" t="s">
        <v>669</v>
      </c>
      <c r="D1678" s="6" t="n">
        <v>0.121917603563624</v>
      </c>
      <c r="E1678" s="6" t="n">
        <v>0.0411342777656801</v>
      </c>
      <c r="F1678" s="7" t="n">
        <v>0.00303773757978401</v>
      </c>
    </row>
    <row r="1679" customFormat="false" ht="15" hidden="false" customHeight="true" outlineLevel="0" collapsed="false">
      <c r="A1679" s="5" t="s">
        <v>88</v>
      </c>
      <c r="B1679" s="5" t="s">
        <v>83</v>
      </c>
      <c r="C1679" s="5" t="s">
        <v>670</v>
      </c>
      <c r="D1679" s="6" t="n">
        <v>0.122804262288078</v>
      </c>
      <c r="E1679" s="6" t="n">
        <v>0.0411431543713135</v>
      </c>
      <c r="F1679" s="7" t="n">
        <v>0.00283759843530974</v>
      </c>
    </row>
    <row r="1680" customFormat="false" ht="15" hidden="false" customHeight="true" outlineLevel="0" collapsed="false">
      <c r="A1680" s="5" t="s">
        <v>88</v>
      </c>
      <c r="B1680" s="5" t="s">
        <v>83</v>
      </c>
      <c r="C1680" s="5" t="s">
        <v>671</v>
      </c>
      <c r="D1680" s="6" t="n">
        <v>0.123985368939792</v>
      </c>
      <c r="E1680" s="6" t="n">
        <v>0.0410982107111735</v>
      </c>
      <c r="F1680" s="7" t="n">
        <v>0.0025545241611054</v>
      </c>
    </row>
    <row r="1681" customFormat="false" ht="15" hidden="false" customHeight="true" outlineLevel="0" collapsed="false">
      <c r="A1681" s="5" t="s">
        <v>88</v>
      </c>
      <c r="B1681" s="5" t="s">
        <v>83</v>
      </c>
      <c r="C1681" s="5" t="s">
        <v>672</v>
      </c>
      <c r="D1681" s="6" t="n">
        <v>0.12289538569801</v>
      </c>
      <c r="E1681" s="6" t="n">
        <v>0.0410998830920536</v>
      </c>
      <c r="F1681" s="7" t="n">
        <v>0.00278827813566091</v>
      </c>
    </row>
    <row r="1682" customFormat="false" ht="15" hidden="false" customHeight="true" outlineLevel="0" collapsed="false">
      <c r="A1682" s="5" t="s">
        <v>88</v>
      </c>
      <c r="B1682" s="5" t="s">
        <v>83</v>
      </c>
      <c r="C1682" s="5" t="s">
        <v>673</v>
      </c>
      <c r="D1682" s="6" t="n">
        <v>0.122407972537025</v>
      </c>
      <c r="E1682" s="6" t="n">
        <v>0.0411342249395561</v>
      </c>
      <c r="F1682" s="7" t="n">
        <v>0.00292208093194252</v>
      </c>
    </row>
    <row r="1683" customFormat="false" ht="15" hidden="false" customHeight="true" outlineLevel="0" collapsed="false">
      <c r="A1683" s="5" t="s">
        <v>88</v>
      </c>
      <c r="B1683" s="5" t="s">
        <v>83</v>
      </c>
      <c r="C1683" s="5" t="s">
        <v>674</v>
      </c>
      <c r="D1683" s="6" t="n">
        <v>0.124868139183217</v>
      </c>
      <c r="E1683" s="6" t="n">
        <v>0.0410721648514521</v>
      </c>
      <c r="F1683" s="7" t="n">
        <v>0.00236410704295721</v>
      </c>
    </row>
    <row r="1684" customFormat="false" ht="15" hidden="false" customHeight="true" outlineLevel="0" collapsed="false">
      <c r="A1684" s="5" t="s">
        <v>88</v>
      </c>
      <c r="B1684" s="5" t="s">
        <v>83</v>
      </c>
      <c r="C1684" s="5" t="s">
        <v>675</v>
      </c>
      <c r="D1684" s="6" t="n">
        <v>0.118234935494049</v>
      </c>
      <c r="E1684" s="6" t="n">
        <v>0.0409495023810206</v>
      </c>
      <c r="F1684" s="7" t="n">
        <v>0.00388520201750529</v>
      </c>
    </row>
    <row r="1685" customFormat="false" ht="15" hidden="false" customHeight="true" outlineLevel="0" collapsed="false">
      <c r="A1685" s="5" t="s">
        <v>88</v>
      </c>
      <c r="B1685" s="5" t="s">
        <v>83</v>
      </c>
      <c r="C1685" s="5" t="s">
        <v>676</v>
      </c>
      <c r="D1685" s="6" t="n">
        <v>0.119268078595126</v>
      </c>
      <c r="E1685" s="6" t="n">
        <v>0.0411448364849756</v>
      </c>
      <c r="F1685" s="7" t="n">
        <v>0.00374668482806622</v>
      </c>
    </row>
    <row r="1686" customFormat="false" ht="15" hidden="false" customHeight="true" outlineLevel="0" collapsed="false">
      <c r="A1686" s="5" t="s">
        <v>88</v>
      </c>
      <c r="B1686" s="5" t="s">
        <v>83</v>
      </c>
      <c r="C1686" s="5" t="s">
        <v>677</v>
      </c>
      <c r="D1686" s="6" t="n">
        <v>0.123928878512171</v>
      </c>
      <c r="E1686" s="6" t="n">
        <v>0.0410934823053925</v>
      </c>
      <c r="F1686" s="7" t="n">
        <v>0.00256319644689524</v>
      </c>
    </row>
    <row r="1687" customFormat="false" ht="15" hidden="false" customHeight="true" outlineLevel="0" collapsed="false">
      <c r="A1687" s="5" t="s">
        <v>88</v>
      </c>
      <c r="B1687" s="5" t="s">
        <v>83</v>
      </c>
      <c r="C1687" s="5" t="s">
        <v>678</v>
      </c>
      <c r="D1687" s="6" t="n">
        <v>0.120170100031642</v>
      </c>
      <c r="E1687" s="6" t="n">
        <v>0.0411031605179396</v>
      </c>
      <c r="F1687" s="7" t="n">
        <v>0.0034598473065479</v>
      </c>
    </row>
    <row r="1688" customFormat="false" ht="15" hidden="false" customHeight="true" outlineLevel="0" collapsed="false">
      <c r="A1688" s="5" t="s">
        <v>88</v>
      </c>
      <c r="B1688" s="5" t="s">
        <v>83</v>
      </c>
      <c r="C1688" s="5" t="s">
        <v>788</v>
      </c>
      <c r="D1688" s="6" t="n">
        <v>0.130825834621142</v>
      </c>
      <c r="E1688" s="6" t="n">
        <v>0.0410609331739022</v>
      </c>
      <c r="F1688" s="7" t="n">
        <v>0.00144185377095798</v>
      </c>
    </row>
    <row r="1689" customFormat="false" ht="15" hidden="false" customHeight="true" outlineLevel="0" collapsed="false">
      <c r="A1689" s="5" t="s">
        <v>88</v>
      </c>
      <c r="B1689" s="5" t="s">
        <v>83</v>
      </c>
      <c r="C1689" s="5" t="s">
        <v>679</v>
      </c>
      <c r="D1689" s="6" t="n">
        <v>0.12379489524578</v>
      </c>
      <c r="E1689" s="6" t="n">
        <v>0.0411491114428865</v>
      </c>
      <c r="F1689" s="7" t="n">
        <v>0.00262587137007301</v>
      </c>
    </row>
    <row r="1690" customFormat="false" ht="15" hidden="false" customHeight="true" outlineLevel="0" collapsed="false">
      <c r="A1690" s="5" t="s">
        <v>88</v>
      </c>
      <c r="B1690" s="5" t="s">
        <v>83</v>
      </c>
      <c r="C1690" s="5" t="s">
        <v>680</v>
      </c>
      <c r="D1690" s="6" t="n">
        <v>0.123635531968997</v>
      </c>
      <c r="E1690" s="6" t="n">
        <v>0.0411225819086859</v>
      </c>
      <c r="F1690" s="7" t="n">
        <v>0.00264263707836262</v>
      </c>
    </row>
    <row r="1691" customFormat="false" ht="15" hidden="false" customHeight="true" outlineLevel="0" collapsed="false">
      <c r="A1691" s="5" t="s">
        <v>88</v>
      </c>
      <c r="B1691" s="5" t="s">
        <v>83</v>
      </c>
      <c r="C1691" s="5" t="s">
        <v>681</v>
      </c>
      <c r="D1691" s="6" t="n">
        <v>0.12396211112509</v>
      </c>
      <c r="E1691" s="6" t="n">
        <v>0.0410912956455635</v>
      </c>
      <c r="F1691" s="7" t="n">
        <v>0.00255501563795388</v>
      </c>
    </row>
    <row r="1692" customFormat="false" ht="15" hidden="false" customHeight="true" outlineLevel="0" collapsed="false">
      <c r="A1692" s="5" t="s">
        <v>88</v>
      </c>
      <c r="B1692" s="5" t="s">
        <v>83</v>
      </c>
      <c r="C1692" s="5" t="s">
        <v>682</v>
      </c>
      <c r="D1692" s="6" t="n">
        <v>0.120461598660354</v>
      </c>
      <c r="E1692" s="6" t="n">
        <v>0.0411080168076734</v>
      </c>
      <c r="F1692" s="7" t="n">
        <v>0.00338561284829731</v>
      </c>
    </row>
    <row r="1693" customFormat="false" ht="15" hidden="false" customHeight="true" outlineLevel="0" collapsed="false">
      <c r="A1693" s="5" t="s">
        <v>88</v>
      </c>
      <c r="B1693" s="5" t="s">
        <v>83</v>
      </c>
      <c r="C1693" s="5" t="s">
        <v>683</v>
      </c>
      <c r="D1693" s="6" t="n">
        <v>0.123172830599249</v>
      </c>
      <c r="E1693" s="6" t="n">
        <v>0.0411243901613643</v>
      </c>
      <c r="F1693" s="7" t="n">
        <v>0.00274329298463358</v>
      </c>
    </row>
    <row r="1694" customFormat="false" ht="15" hidden="false" customHeight="true" outlineLevel="0" collapsed="false">
      <c r="A1694" s="5" t="s">
        <v>88</v>
      </c>
      <c r="B1694" s="5" t="s">
        <v>83</v>
      </c>
      <c r="C1694" s="5" t="s">
        <v>684</v>
      </c>
      <c r="D1694" s="6" t="n">
        <v>0.12427329487429</v>
      </c>
      <c r="E1694" s="6" t="n">
        <v>0.0411126123965927</v>
      </c>
      <c r="F1694" s="7" t="n">
        <v>0.00250486150600758</v>
      </c>
    </row>
    <row r="1695" customFormat="false" ht="15" hidden="false" customHeight="true" outlineLevel="0" collapsed="false">
      <c r="A1695" s="5" t="s">
        <v>88</v>
      </c>
      <c r="B1695" s="5" t="s">
        <v>83</v>
      </c>
      <c r="C1695" s="5" t="s">
        <v>685</v>
      </c>
      <c r="D1695" s="6" t="n">
        <v>0.121209702695133</v>
      </c>
      <c r="E1695" s="6" t="n">
        <v>0.0411334008910496</v>
      </c>
      <c r="F1695" s="7" t="n">
        <v>0.00321136411089492</v>
      </c>
    </row>
    <row r="1696" customFormat="false" ht="15" hidden="false" customHeight="true" outlineLevel="0" collapsed="false">
      <c r="A1696" s="5" t="s">
        <v>88</v>
      </c>
      <c r="B1696" s="5" t="s">
        <v>83</v>
      </c>
      <c r="C1696" s="5" t="s">
        <v>686</v>
      </c>
      <c r="D1696" s="6" t="n">
        <v>0.123276237092739</v>
      </c>
      <c r="E1696" s="6" t="n">
        <v>0.0410689212919529</v>
      </c>
      <c r="F1696" s="7" t="n">
        <v>0.00268484000081072</v>
      </c>
    </row>
    <row r="1697" customFormat="false" ht="15" hidden="false" customHeight="true" outlineLevel="0" collapsed="false">
      <c r="A1697" s="5" t="s">
        <v>88</v>
      </c>
      <c r="B1697" s="5" t="s">
        <v>83</v>
      </c>
      <c r="C1697" s="5" t="s">
        <v>687</v>
      </c>
      <c r="D1697" s="6" t="n">
        <v>0.12049883737767</v>
      </c>
      <c r="E1697" s="6" t="n">
        <v>0.0411330772591609</v>
      </c>
      <c r="F1697" s="7" t="n">
        <v>0.00339521423113169</v>
      </c>
    </row>
    <row r="1698" customFormat="false" ht="15" hidden="false" customHeight="true" outlineLevel="0" collapsed="false">
      <c r="A1698" s="5" t="s">
        <v>88</v>
      </c>
      <c r="B1698" s="5" t="s">
        <v>83</v>
      </c>
      <c r="C1698" s="5" t="s">
        <v>789</v>
      </c>
      <c r="D1698" s="6" t="n">
        <v>0.120921679879012</v>
      </c>
      <c r="E1698" s="6" t="n">
        <v>0.0411398349704962</v>
      </c>
      <c r="F1698" s="7" t="n">
        <v>0.0032897093535064</v>
      </c>
    </row>
    <row r="1699" customFormat="false" ht="15" hidden="false" customHeight="true" outlineLevel="0" collapsed="false">
      <c r="A1699" s="5" t="s">
        <v>88</v>
      </c>
      <c r="B1699" s="5" t="s">
        <v>83</v>
      </c>
      <c r="C1699" s="5" t="s">
        <v>688</v>
      </c>
      <c r="D1699" s="6" t="n">
        <v>0.122201536300586</v>
      </c>
      <c r="E1699" s="6" t="n">
        <v>0.0411408345156013</v>
      </c>
      <c r="F1699" s="7" t="n">
        <v>0.0029748750357003</v>
      </c>
    </row>
    <row r="1700" customFormat="false" ht="15" hidden="false" customHeight="true" outlineLevel="0" collapsed="false">
      <c r="A1700" s="5" t="s">
        <v>88</v>
      </c>
      <c r="B1700" s="5" t="s">
        <v>83</v>
      </c>
      <c r="C1700" s="5" t="s">
        <v>689</v>
      </c>
      <c r="D1700" s="6" t="n">
        <v>0.118522249625973</v>
      </c>
      <c r="E1700" s="6" t="n">
        <v>0.0409645221872044</v>
      </c>
      <c r="F1700" s="7" t="n">
        <v>0.00381228912351579</v>
      </c>
    </row>
    <row r="1701" customFormat="false" ht="15" hidden="false" customHeight="true" outlineLevel="0" collapsed="false">
      <c r="A1701" s="5" t="s">
        <v>88</v>
      </c>
      <c r="B1701" s="5" t="s">
        <v>83</v>
      </c>
      <c r="C1701" s="5" t="s">
        <v>690</v>
      </c>
      <c r="D1701" s="6" t="n">
        <v>0.120084466756967</v>
      </c>
      <c r="E1701" s="6" t="n">
        <v>0.0410913728662528</v>
      </c>
      <c r="F1701" s="7" t="n">
        <v>0.00347371233602785</v>
      </c>
    </row>
    <row r="1702" customFormat="false" ht="15" hidden="false" customHeight="true" outlineLevel="0" collapsed="false">
      <c r="A1702" s="5" t="s">
        <v>88</v>
      </c>
      <c r="B1702" s="5" t="s">
        <v>83</v>
      </c>
      <c r="C1702" s="5" t="s">
        <v>691</v>
      </c>
      <c r="D1702" s="6" t="n">
        <v>0.122892971568889</v>
      </c>
      <c r="E1702" s="6" t="n">
        <v>0.0411040876594144</v>
      </c>
      <c r="F1702" s="7" t="n">
        <v>0.00279160825980027</v>
      </c>
    </row>
    <row r="1703" customFormat="false" ht="15" hidden="false" customHeight="true" outlineLevel="0" collapsed="false">
      <c r="A1703" s="5" t="s">
        <v>88</v>
      </c>
      <c r="B1703" s="5" t="s">
        <v>83</v>
      </c>
      <c r="C1703" s="5" t="s">
        <v>692</v>
      </c>
      <c r="D1703" s="6" t="n">
        <v>0.117256265954291</v>
      </c>
      <c r="E1703" s="6" t="n">
        <v>0.0410309967886282</v>
      </c>
      <c r="F1703" s="7" t="n">
        <v>0.00426658526594259</v>
      </c>
    </row>
    <row r="1704" customFormat="false" ht="15" hidden="false" customHeight="true" outlineLevel="0" collapsed="false">
      <c r="A1704" s="5" t="s">
        <v>88</v>
      </c>
      <c r="B1704" s="5" t="s">
        <v>83</v>
      </c>
      <c r="C1704" s="5" t="s">
        <v>693</v>
      </c>
      <c r="D1704" s="6" t="n">
        <v>0.122315141844429</v>
      </c>
      <c r="E1704" s="6" t="n">
        <v>0.0411213900124056</v>
      </c>
      <c r="F1704" s="7" t="n">
        <v>0.00293476522160555</v>
      </c>
    </row>
    <row r="1705" customFormat="false" ht="15" hidden="false" customHeight="true" outlineLevel="0" collapsed="false">
      <c r="A1705" s="5" t="s">
        <v>88</v>
      </c>
      <c r="B1705" s="5" t="s">
        <v>83</v>
      </c>
      <c r="C1705" s="5" t="s">
        <v>694</v>
      </c>
      <c r="D1705" s="6" t="n">
        <v>0.120445054621582</v>
      </c>
      <c r="E1705" s="6" t="n">
        <v>0.0411005936614196</v>
      </c>
      <c r="F1705" s="7" t="n">
        <v>0.00338423224281378</v>
      </c>
    </row>
    <row r="1706" customFormat="false" ht="15" hidden="false" customHeight="true" outlineLevel="0" collapsed="false">
      <c r="A1706" s="5" t="s">
        <v>88</v>
      </c>
      <c r="B1706" s="5" t="s">
        <v>83</v>
      </c>
      <c r="C1706" s="5" t="s">
        <v>695</v>
      </c>
      <c r="D1706" s="6" t="n">
        <v>0.123072193856651</v>
      </c>
      <c r="E1706" s="6" t="n">
        <v>0.0411036518426031</v>
      </c>
      <c r="F1706" s="7" t="n">
        <v>0.00275173418166163</v>
      </c>
    </row>
    <row r="1707" customFormat="false" ht="15" hidden="false" customHeight="true" outlineLevel="0" collapsed="false">
      <c r="A1707" s="5" t="s">
        <v>88</v>
      </c>
      <c r="B1707" s="5" t="s">
        <v>83</v>
      </c>
      <c r="C1707" s="5" t="s">
        <v>696</v>
      </c>
      <c r="D1707" s="6" t="n">
        <v>0.122595436793325</v>
      </c>
      <c r="E1707" s="6" t="n">
        <v>0.0411368746120323</v>
      </c>
      <c r="F1707" s="7" t="n">
        <v>0.00288075716824451</v>
      </c>
    </row>
    <row r="1708" customFormat="false" ht="15" hidden="false" customHeight="true" outlineLevel="0" collapsed="false">
      <c r="A1708" s="5" t="s">
        <v>88</v>
      </c>
      <c r="B1708" s="5" t="s">
        <v>83</v>
      </c>
      <c r="C1708" s="5" t="s">
        <v>697</v>
      </c>
      <c r="D1708" s="6" t="n">
        <v>0.12308455940851</v>
      </c>
      <c r="E1708" s="6" t="n">
        <v>0.0411475521444203</v>
      </c>
      <c r="F1708" s="7" t="n">
        <v>0.00277794944144664</v>
      </c>
    </row>
    <row r="1709" customFormat="false" ht="15" hidden="false" customHeight="true" outlineLevel="0" collapsed="false">
      <c r="A1709" s="5" t="s">
        <v>88</v>
      </c>
      <c r="B1709" s="5" t="s">
        <v>83</v>
      </c>
      <c r="C1709" s="5" t="s">
        <v>698</v>
      </c>
      <c r="D1709" s="6" t="n">
        <v>0.121473639745222</v>
      </c>
      <c r="E1709" s="6" t="n">
        <v>0.041156675019759</v>
      </c>
      <c r="F1709" s="7" t="n">
        <v>0.00316241676299606</v>
      </c>
    </row>
    <row r="1710" customFormat="false" ht="15" hidden="false" customHeight="true" outlineLevel="0" collapsed="false">
      <c r="A1710" s="5" t="s">
        <v>88</v>
      </c>
      <c r="B1710" s="5" t="s">
        <v>83</v>
      </c>
      <c r="C1710" s="5" t="s">
        <v>699</v>
      </c>
      <c r="D1710" s="6" t="n">
        <v>0.121916223681756</v>
      </c>
      <c r="E1710" s="6" t="n">
        <v>0.0411627567784854</v>
      </c>
      <c r="F1710" s="7" t="n">
        <v>0.00305837435571308</v>
      </c>
    </row>
    <row r="1711" customFormat="false" ht="15" hidden="false" customHeight="true" outlineLevel="0" collapsed="false">
      <c r="A1711" s="5" t="s">
        <v>88</v>
      </c>
      <c r="B1711" s="5" t="s">
        <v>83</v>
      </c>
      <c r="C1711" s="5" t="s">
        <v>700</v>
      </c>
      <c r="D1711" s="6" t="n">
        <v>0.12270623093779</v>
      </c>
      <c r="E1711" s="6" t="n">
        <v>0.0410943015897383</v>
      </c>
      <c r="F1711" s="7" t="n">
        <v>0.00282683090241242</v>
      </c>
    </row>
    <row r="1712" customFormat="false" ht="15" hidden="false" customHeight="true" outlineLevel="0" collapsed="false">
      <c r="A1712" s="5" t="s">
        <v>88</v>
      </c>
      <c r="B1712" s="5" t="s">
        <v>83</v>
      </c>
      <c r="C1712" s="5" t="s">
        <v>701</v>
      </c>
      <c r="D1712" s="6" t="n">
        <v>0.123426789745413</v>
      </c>
      <c r="E1712" s="6" t="n">
        <v>0.0411275944637494</v>
      </c>
      <c r="F1712" s="7" t="n">
        <v>0.00269032715219023</v>
      </c>
    </row>
    <row r="1713" customFormat="false" ht="15" hidden="false" customHeight="true" outlineLevel="0" collapsed="false">
      <c r="A1713" s="5" t="s">
        <v>88</v>
      </c>
      <c r="B1713" s="5" t="s">
        <v>83</v>
      </c>
      <c r="C1713" s="5" t="s">
        <v>702</v>
      </c>
      <c r="D1713" s="6" t="n">
        <v>0.122838684501768</v>
      </c>
      <c r="E1713" s="6" t="n">
        <v>0.0411422904381529</v>
      </c>
      <c r="F1713" s="7" t="n">
        <v>0.00282926730642435</v>
      </c>
    </row>
    <row r="1714" customFormat="false" ht="15" hidden="false" customHeight="true" outlineLevel="0" collapsed="false">
      <c r="A1714" s="5" t="s">
        <v>88</v>
      </c>
      <c r="B1714" s="5" t="s">
        <v>83</v>
      </c>
      <c r="C1714" s="5" t="s">
        <v>703</v>
      </c>
      <c r="D1714" s="6" t="n">
        <v>0.120730703721832</v>
      </c>
      <c r="E1714" s="6" t="n">
        <v>0.0411145094577183</v>
      </c>
      <c r="F1714" s="7" t="n">
        <v>0.00331992272008529</v>
      </c>
    </row>
    <row r="1715" customFormat="false" ht="15" hidden="false" customHeight="true" outlineLevel="0" collapsed="false">
      <c r="A1715" s="5" t="s">
        <v>88</v>
      </c>
      <c r="B1715" s="5" t="s">
        <v>83</v>
      </c>
      <c r="C1715" s="5" t="s">
        <v>704</v>
      </c>
      <c r="D1715" s="6" t="n">
        <v>0.121525297066184</v>
      </c>
      <c r="E1715" s="6" t="n">
        <v>0.0411258946497004</v>
      </c>
      <c r="F1715" s="7" t="n">
        <v>0.00312711479134704</v>
      </c>
    </row>
    <row r="1716" customFormat="false" ht="15" hidden="false" customHeight="true" outlineLevel="0" collapsed="false">
      <c r="A1716" s="5" t="s">
        <v>88</v>
      </c>
      <c r="B1716" s="5" t="s">
        <v>83</v>
      </c>
      <c r="C1716" s="5" t="s">
        <v>705</v>
      </c>
      <c r="D1716" s="6" t="n">
        <v>0.122518634174968</v>
      </c>
      <c r="E1716" s="6" t="n">
        <v>0.0411248639744188</v>
      </c>
      <c r="F1716" s="7" t="n">
        <v>0.00289014932267754</v>
      </c>
    </row>
    <row r="1717" customFormat="false" ht="15" hidden="false" customHeight="true" outlineLevel="0" collapsed="false">
      <c r="A1717" s="5" t="s">
        <v>88</v>
      </c>
      <c r="B1717" s="5" t="s">
        <v>83</v>
      </c>
      <c r="C1717" s="5" t="s">
        <v>706</v>
      </c>
      <c r="D1717" s="6" t="n">
        <v>0.121667168892243</v>
      </c>
      <c r="E1717" s="6" t="n">
        <v>0.0411575269623756</v>
      </c>
      <c r="F1717" s="7" t="n">
        <v>0.00311521615219746</v>
      </c>
    </row>
    <row r="1718" customFormat="false" ht="15" hidden="false" customHeight="true" outlineLevel="0" collapsed="false">
      <c r="A1718" s="5" t="s">
        <v>88</v>
      </c>
      <c r="B1718" s="5" t="s">
        <v>83</v>
      </c>
      <c r="C1718" s="5" t="s">
        <v>707</v>
      </c>
      <c r="D1718" s="6" t="n">
        <v>0.122797231129818</v>
      </c>
      <c r="E1718" s="6" t="n">
        <v>0.0411234148779286</v>
      </c>
      <c r="F1718" s="7" t="n">
        <v>0.00282591641829338</v>
      </c>
    </row>
    <row r="1719" customFormat="false" ht="15" hidden="false" customHeight="true" outlineLevel="0" collapsed="false">
      <c r="A1719" s="5" t="s">
        <v>88</v>
      </c>
      <c r="B1719" s="5" t="s">
        <v>83</v>
      </c>
      <c r="C1719" s="5" t="s">
        <v>708</v>
      </c>
      <c r="D1719" s="6" t="n">
        <v>0.124167263532349</v>
      </c>
      <c r="E1719" s="6" t="n">
        <v>0.0410629342382784</v>
      </c>
      <c r="F1719" s="7" t="n">
        <v>0.00249598033646015</v>
      </c>
    </row>
    <row r="1720" customFormat="false" ht="15" hidden="false" customHeight="true" outlineLevel="0" collapsed="false">
      <c r="A1720" s="5" t="s">
        <v>88</v>
      </c>
      <c r="B1720" s="5" t="s">
        <v>83</v>
      </c>
      <c r="C1720" s="5" t="s">
        <v>186</v>
      </c>
      <c r="D1720" s="6" t="n">
        <v>0.124074339696374</v>
      </c>
      <c r="E1720" s="6" t="n">
        <v>0.0410837403460791</v>
      </c>
      <c r="F1720" s="7" t="n">
        <v>0.00252745356363633</v>
      </c>
    </row>
    <row r="1721" customFormat="false" ht="15" hidden="false" customHeight="true" outlineLevel="0" collapsed="false">
      <c r="A1721" s="5" t="s">
        <v>88</v>
      </c>
      <c r="B1721" s="5" t="s">
        <v>83</v>
      </c>
      <c r="C1721" s="5" t="s">
        <v>709</v>
      </c>
      <c r="D1721" s="6" t="n">
        <v>0.121353357629027</v>
      </c>
      <c r="E1721" s="6" t="n">
        <v>0.0411923591215454</v>
      </c>
      <c r="F1721" s="7" t="n">
        <v>0.00321895532159478</v>
      </c>
    </row>
    <row r="1722" customFormat="false" ht="15" hidden="false" customHeight="true" outlineLevel="0" collapsed="false">
      <c r="A1722" s="5" t="s">
        <v>88</v>
      </c>
      <c r="B1722" s="5" t="s">
        <v>83</v>
      </c>
      <c r="C1722" s="5" t="s">
        <v>710</v>
      </c>
      <c r="D1722" s="6" t="n">
        <v>0.122818022735669</v>
      </c>
      <c r="E1722" s="6" t="n">
        <v>0.041076918474796</v>
      </c>
      <c r="F1722" s="7" t="n">
        <v>0.0027902110742467</v>
      </c>
    </row>
    <row r="1723" customFormat="false" ht="15" hidden="false" customHeight="true" outlineLevel="0" collapsed="false">
      <c r="A1723" s="5" t="s">
        <v>88</v>
      </c>
      <c r="B1723" s="5" t="s">
        <v>83</v>
      </c>
      <c r="C1723" s="5" t="s">
        <v>711</v>
      </c>
      <c r="D1723" s="6" t="n">
        <v>0.122399467726993</v>
      </c>
      <c r="E1723" s="6" t="n">
        <v>0.0411367471845553</v>
      </c>
      <c r="F1723" s="7" t="n">
        <v>0.00292579134233503</v>
      </c>
    </row>
    <row r="1724" customFormat="false" ht="15" hidden="false" customHeight="true" outlineLevel="0" collapsed="false">
      <c r="A1724" s="5" t="s">
        <v>88</v>
      </c>
      <c r="B1724" s="5" t="s">
        <v>83</v>
      </c>
      <c r="C1724" s="5" t="s">
        <v>712</v>
      </c>
      <c r="D1724" s="6" t="n">
        <v>0.122821434190019</v>
      </c>
      <c r="E1724" s="6" t="n">
        <v>0.0411216884939408</v>
      </c>
      <c r="F1724" s="7" t="n">
        <v>0.00281932586205092</v>
      </c>
    </row>
    <row r="1725" customFormat="false" ht="15" hidden="false" customHeight="true" outlineLevel="0" collapsed="false">
      <c r="A1725" s="5" t="s">
        <v>88</v>
      </c>
      <c r="B1725" s="5" t="s">
        <v>83</v>
      </c>
      <c r="C1725" s="5" t="s">
        <v>713</v>
      </c>
      <c r="D1725" s="6" t="n">
        <v>0.121982406231713</v>
      </c>
      <c r="E1725" s="6" t="n">
        <v>0.0411355085161933</v>
      </c>
      <c r="F1725" s="7" t="n">
        <v>0.00302309450528189</v>
      </c>
    </row>
    <row r="1726" customFormat="false" ht="15" hidden="false" customHeight="true" outlineLevel="0" collapsed="false">
      <c r="A1726" s="5" t="s">
        <v>88</v>
      </c>
      <c r="B1726" s="5" t="s">
        <v>83</v>
      </c>
      <c r="C1726" s="5" t="s">
        <v>714</v>
      </c>
      <c r="D1726" s="6" t="n">
        <v>0.121256928247243</v>
      </c>
      <c r="E1726" s="6" t="n">
        <v>0.0411552207718105</v>
      </c>
      <c r="F1726" s="7" t="n">
        <v>0.00321567443388676</v>
      </c>
    </row>
    <row r="1727" customFormat="false" ht="15" hidden="false" customHeight="true" outlineLevel="0" collapsed="false">
      <c r="A1727" s="5" t="s">
        <v>88</v>
      </c>
      <c r="B1727" s="5" t="s">
        <v>83</v>
      </c>
      <c r="C1727" s="5" t="s">
        <v>715</v>
      </c>
      <c r="D1727" s="6" t="n">
        <v>0.11933551807714</v>
      </c>
      <c r="E1727" s="6" t="n">
        <v>0.0410217756619141</v>
      </c>
      <c r="F1727" s="7" t="n">
        <v>0.00362497170471951</v>
      </c>
    </row>
    <row r="1728" customFormat="false" ht="15" hidden="false" customHeight="true" outlineLevel="0" collapsed="false">
      <c r="A1728" s="5" t="s">
        <v>88</v>
      </c>
      <c r="B1728" s="5" t="s">
        <v>83</v>
      </c>
      <c r="C1728" s="5" t="s">
        <v>716</v>
      </c>
      <c r="D1728" s="6" t="n">
        <v>0.123536711690989</v>
      </c>
      <c r="E1728" s="6" t="n">
        <v>0.0410298242733451</v>
      </c>
      <c r="F1728" s="7" t="n">
        <v>0.00260474331782376</v>
      </c>
    </row>
    <row r="1729" customFormat="false" ht="15" hidden="false" customHeight="true" outlineLevel="0" collapsed="false">
      <c r="A1729" s="5" t="s">
        <v>88</v>
      </c>
      <c r="B1729" s="5" t="s">
        <v>83</v>
      </c>
      <c r="C1729" s="5" t="s">
        <v>717</v>
      </c>
      <c r="D1729" s="6" t="n">
        <v>0.119472954284499</v>
      </c>
      <c r="E1729" s="6" t="n">
        <v>0.041117358087602</v>
      </c>
      <c r="F1729" s="7" t="n">
        <v>0.00366482516467115</v>
      </c>
    </row>
    <row r="1730" customFormat="false" ht="15" hidden="false" customHeight="true" outlineLevel="0" collapsed="false">
      <c r="A1730" s="5" t="s">
        <v>88</v>
      </c>
      <c r="B1730" s="5" t="s">
        <v>83</v>
      </c>
      <c r="C1730" s="5" t="s">
        <v>718</v>
      </c>
      <c r="D1730" s="6" t="n">
        <v>0.122771507505723</v>
      </c>
      <c r="E1730" s="6" t="n">
        <v>0.041097135648773</v>
      </c>
      <c r="F1730" s="7" t="n">
        <v>0.00281407814009061</v>
      </c>
    </row>
    <row r="1731" customFormat="false" ht="15" hidden="false" customHeight="true" outlineLevel="0" collapsed="false">
      <c r="A1731" s="5" t="s">
        <v>88</v>
      </c>
      <c r="B1731" s="5" t="s">
        <v>83</v>
      </c>
      <c r="C1731" s="5" t="s">
        <v>719</v>
      </c>
      <c r="D1731" s="6" t="n">
        <v>0.120285239407018</v>
      </c>
      <c r="E1731" s="6" t="n">
        <v>0.0411037994305213</v>
      </c>
      <c r="F1731" s="7" t="n">
        <v>0.00342934382047743</v>
      </c>
    </row>
    <row r="1732" customFormat="false" ht="15" hidden="false" customHeight="true" outlineLevel="0" collapsed="false">
      <c r="A1732" s="5" t="s">
        <v>88</v>
      </c>
      <c r="B1732" s="5" t="s">
        <v>83</v>
      </c>
      <c r="C1732" s="5" t="s">
        <v>720</v>
      </c>
      <c r="D1732" s="6" t="n">
        <v>0.118616285815324</v>
      </c>
      <c r="E1732" s="6" t="n">
        <v>0.0409546204597159</v>
      </c>
      <c r="F1732" s="7" t="n">
        <v>0.00377608324710648</v>
      </c>
    </row>
    <row r="1733" customFormat="false" ht="15" hidden="false" customHeight="true" outlineLevel="0" collapsed="false">
      <c r="A1733" s="5" t="s">
        <v>88</v>
      </c>
      <c r="B1733" s="5" t="s">
        <v>83</v>
      </c>
      <c r="C1733" s="5" t="s">
        <v>721</v>
      </c>
      <c r="D1733" s="6" t="n">
        <v>0.120505371833376</v>
      </c>
      <c r="E1733" s="6" t="n">
        <v>0.0411462922986847</v>
      </c>
      <c r="F1733" s="7" t="n">
        <v>0.00340376769336039</v>
      </c>
    </row>
    <row r="1734" customFormat="false" ht="15" hidden="false" customHeight="true" outlineLevel="0" collapsed="false">
      <c r="A1734" s="5" t="s">
        <v>88</v>
      </c>
      <c r="B1734" s="5" t="s">
        <v>83</v>
      </c>
      <c r="C1734" s="5" t="s">
        <v>722</v>
      </c>
      <c r="D1734" s="6" t="n">
        <v>0.122722154558578</v>
      </c>
      <c r="E1734" s="6" t="n">
        <v>0.0411494193807017</v>
      </c>
      <c r="F1734" s="7" t="n">
        <v>0.00286040609661372</v>
      </c>
    </row>
    <row r="1735" customFormat="false" ht="15" hidden="false" customHeight="true" outlineLevel="0" collapsed="false">
      <c r="A1735" s="5" t="s">
        <v>88</v>
      </c>
      <c r="B1735" s="5" t="s">
        <v>83</v>
      </c>
      <c r="C1735" s="5" t="s">
        <v>723</v>
      </c>
      <c r="D1735" s="6" t="n">
        <v>0.123927901086583</v>
      </c>
      <c r="E1735" s="6" t="n">
        <v>0.0411422537905138</v>
      </c>
      <c r="F1735" s="7" t="n">
        <v>0.00259378183188667</v>
      </c>
    </row>
    <row r="1736" customFormat="false" ht="15" hidden="false" customHeight="true" outlineLevel="0" collapsed="false">
      <c r="A1736" s="5" t="s">
        <v>88</v>
      </c>
      <c r="B1736" s="5" t="s">
        <v>83</v>
      </c>
      <c r="C1736" s="5" t="s">
        <v>724</v>
      </c>
      <c r="D1736" s="6" t="n">
        <v>0.124325632380166</v>
      </c>
      <c r="E1736" s="6" t="n">
        <v>0.0411024684868809</v>
      </c>
      <c r="F1736" s="7" t="n">
        <v>0.00248819891277157</v>
      </c>
    </row>
    <row r="1737" customFormat="false" ht="15" hidden="false" customHeight="true" outlineLevel="0" collapsed="false">
      <c r="A1737" s="5" t="s">
        <v>88</v>
      </c>
      <c r="B1737" s="5" t="s">
        <v>83</v>
      </c>
      <c r="C1737" s="5" t="s">
        <v>725</v>
      </c>
      <c r="D1737" s="6" t="n">
        <v>0.121374247366156</v>
      </c>
      <c r="E1737" s="6" t="n">
        <v>0.0411290340504279</v>
      </c>
      <c r="F1737" s="7" t="n">
        <v>0.00316685389093153</v>
      </c>
    </row>
    <row r="1738" customFormat="false" ht="15" hidden="false" customHeight="true" outlineLevel="0" collapsed="false">
      <c r="A1738" s="5" t="s">
        <v>88</v>
      </c>
      <c r="B1738" s="5" t="s">
        <v>83</v>
      </c>
      <c r="C1738" s="5" t="s">
        <v>726</v>
      </c>
      <c r="D1738" s="6" t="n">
        <v>0.120336703579724</v>
      </c>
      <c r="E1738" s="6" t="n">
        <v>0.0411139562187259</v>
      </c>
      <c r="F1738" s="7" t="n">
        <v>0.0034235184308801</v>
      </c>
    </row>
    <row r="1739" customFormat="false" ht="15" hidden="false" customHeight="true" outlineLevel="0" collapsed="false">
      <c r="A1739" s="5" t="s">
        <v>88</v>
      </c>
      <c r="B1739" s="5" t="s">
        <v>83</v>
      </c>
      <c r="C1739" s="5" t="s">
        <v>727</v>
      </c>
      <c r="D1739" s="6" t="n">
        <v>0.12027563787275</v>
      </c>
      <c r="E1739" s="6" t="n">
        <v>0.0410969020494161</v>
      </c>
      <c r="F1739" s="7" t="n">
        <v>0.00342650598350391</v>
      </c>
    </row>
    <row r="1740" customFormat="false" ht="15" hidden="false" customHeight="true" outlineLevel="0" collapsed="false">
      <c r="A1740" s="5" t="s">
        <v>88</v>
      </c>
      <c r="B1740" s="5" t="s">
        <v>83</v>
      </c>
      <c r="C1740" s="5" t="s">
        <v>728</v>
      </c>
      <c r="D1740" s="6" t="n">
        <v>0.120968523961671</v>
      </c>
      <c r="E1740" s="6" t="n">
        <v>0.0411311966552689</v>
      </c>
      <c r="F1740" s="7" t="n">
        <v>0.00327111536405985</v>
      </c>
    </row>
    <row r="1741" customFormat="false" ht="15" hidden="false" customHeight="true" outlineLevel="0" collapsed="false">
      <c r="A1741" s="5" t="s">
        <v>88</v>
      </c>
      <c r="B1741" s="5" t="s">
        <v>83</v>
      </c>
      <c r="C1741" s="5" t="s">
        <v>729</v>
      </c>
      <c r="D1741" s="6" t="n">
        <v>0.120411594528097</v>
      </c>
      <c r="E1741" s="6" t="n">
        <v>0.0411241760127016</v>
      </c>
      <c r="F1741" s="7" t="n">
        <v>0.00341149854080304</v>
      </c>
    </row>
    <row r="1742" customFormat="false" ht="15" hidden="false" customHeight="true" outlineLevel="0" collapsed="false">
      <c r="A1742" s="5" t="s">
        <v>88</v>
      </c>
      <c r="B1742" s="5" t="s">
        <v>83</v>
      </c>
      <c r="C1742" s="5" t="s">
        <v>730</v>
      </c>
      <c r="D1742" s="6" t="n">
        <v>0.121179639549788</v>
      </c>
      <c r="E1742" s="6" t="n">
        <v>0.0411334351052978</v>
      </c>
      <c r="F1742" s="7" t="n">
        <v>0.00321898744582282</v>
      </c>
    </row>
    <row r="1743" customFormat="false" ht="15" hidden="false" customHeight="true" outlineLevel="0" collapsed="false">
      <c r="A1743" s="5" t="s">
        <v>88</v>
      </c>
      <c r="B1743" s="5" t="s">
        <v>83</v>
      </c>
      <c r="C1743" s="5" t="s">
        <v>731</v>
      </c>
      <c r="D1743" s="6" t="n">
        <v>0.121515775514972</v>
      </c>
      <c r="E1743" s="6" t="n">
        <v>0.0412184676422203</v>
      </c>
      <c r="F1743" s="7" t="n">
        <v>0.0031974337869571</v>
      </c>
    </row>
    <row r="1744" customFormat="false" ht="15" hidden="false" customHeight="true" outlineLevel="0" collapsed="false">
      <c r="A1744" s="5" t="s">
        <v>88</v>
      </c>
      <c r="B1744" s="5" t="s">
        <v>83</v>
      </c>
      <c r="C1744" s="5" t="s">
        <v>190</v>
      </c>
      <c r="D1744" s="6" t="n">
        <v>0.115653081320083</v>
      </c>
      <c r="E1744" s="6" t="n">
        <v>0.0409401839249934</v>
      </c>
      <c r="F1744" s="7" t="n">
        <v>0.00472912074740039</v>
      </c>
    </row>
    <row r="1745" customFormat="false" ht="15" hidden="false" customHeight="true" outlineLevel="0" collapsed="false">
      <c r="A1745" s="5" t="s">
        <v>88</v>
      </c>
      <c r="B1745" s="5" t="s">
        <v>83</v>
      </c>
      <c r="C1745" s="5" t="s">
        <v>732</v>
      </c>
      <c r="D1745" s="6" t="n">
        <v>0.122089106266025</v>
      </c>
      <c r="E1745" s="6" t="n">
        <v>0.0411304605842152</v>
      </c>
      <c r="F1745" s="7" t="n">
        <v>0.00299414952384619</v>
      </c>
    </row>
    <row r="1746" customFormat="false" ht="15" hidden="false" customHeight="true" outlineLevel="0" collapsed="false">
      <c r="A1746" s="5" t="s">
        <v>88</v>
      </c>
      <c r="B1746" s="5" t="s">
        <v>83</v>
      </c>
      <c r="C1746" s="5" t="s">
        <v>790</v>
      </c>
      <c r="D1746" s="6" t="n">
        <v>0.119080126582354</v>
      </c>
      <c r="E1746" s="6" t="n">
        <v>0.041082972498854</v>
      </c>
      <c r="F1746" s="7" t="n">
        <v>0.0037491939901972</v>
      </c>
    </row>
    <row r="1747" customFormat="false" ht="15" hidden="false" customHeight="true" outlineLevel="0" collapsed="false">
      <c r="A1747" s="5" t="s">
        <v>88</v>
      </c>
      <c r="B1747" s="5" t="s">
        <v>83</v>
      </c>
      <c r="C1747" s="5" t="s">
        <v>733</v>
      </c>
      <c r="D1747" s="6" t="n">
        <v>0.118235676556584</v>
      </c>
      <c r="E1747" s="6" t="n">
        <v>0.0410609327895303</v>
      </c>
      <c r="F1747" s="7" t="n">
        <v>0.00398284130878309</v>
      </c>
    </row>
    <row r="1748" customFormat="false" ht="15" hidden="false" customHeight="true" outlineLevel="0" collapsed="false">
      <c r="A1748" s="5" t="s">
        <v>88</v>
      </c>
      <c r="B1748" s="5" t="s">
        <v>83</v>
      </c>
      <c r="C1748" s="5" t="s">
        <v>734</v>
      </c>
      <c r="D1748" s="6" t="n">
        <v>0.119979482847059</v>
      </c>
      <c r="E1748" s="6" t="n">
        <v>0.0411153890496609</v>
      </c>
      <c r="F1748" s="7" t="n">
        <v>0.00352153092765326</v>
      </c>
    </row>
    <row r="1749" customFormat="false" ht="15" hidden="false" customHeight="true" outlineLevel="0" collapsed="false">
      <c r="A1749" s="5" t="s">
        <v>88</v>
      </c>
      <c r="B1749" s="5" t="s">
        <v>83</v>
      </c>
      <c r="C1749" s="5" t="s">
        <v>735</v>
      </c>
      <c r="D1749" s="6" t="n">
        <v>0.12125053186511</v>
      </c>
      <c r="E1749" s="6" t="n">
        <v>0.0411304946193055</v>
      </c>
      <c r="F1749" s="7" t="n">
        <v>0.00319891560222353</v>
      </c>
    </row>
    <row r="1750" customFormat="false" ht="15" hidden="false" customHeight="true" outlineLevel="0" collapsed="false">
      <c r="A1750" s="5" t="s">
        <v>88</v>
      </c>
      <c r="B1750" s="5" t="s">
        <v>83</v>
      </c>
      <c r="C1750" s="5" t="s">
        <v>736</v>
      </c>
      <c r="D1750" s="6" t="n">
        <v>0.120947173883739</v>
      </c>
      <c r="E1750" s="6" t="n">
        <v>0.0411306397593001</v>
      </c>
      <c r="F1750" s="7" t="n">
        <v>0.00327618006006109</v>
      </c>
    </row>
    <row r="1751" customFormat="false" ht="15" hidden="false" customHeight="true" outlineLevel="0" collapsed="false">
      <c r="A1751" s="5" t="s">
        <v>88</v>
      </c>
      <c r="B1751" s="5" t="s">
        <v>83</v>
      </c>
      <c r="C1751" s="5" t="s">
        <v>737</v>
      </c>
      <c r="D1751" s="6" t="n">
        <v>0.120802100285914</v>
      </c>
      <c r="E1751" s="6" t="n">
        <v>0.0411412614411222</v>
      </c>
      <c r="F1751" s="7" t="n">
        <v>0.00332178583636021</v>
      </c>
    </row>
    <row r="1752" customFormat="false" ht="15" hidden="false" customHeight="true" outlineLevel="0" collapsed="false">
      <c r="A1752" s="5" t="s">
        <v>88</v>
      </c>
      <c r="B1752" s="5" t="s">
        <v>83</v>
      </c>
      <c r="C1752" s="5" t="s">
        <v>738</v>
      </c>
      <c r="D1752" s="6" t="n">
        <v>0.12125107671577</v>
      </c>
      <c r="E1752" s="6" t="n">
        <v>0.0411553317712191</v>
      </c>
      <c r="F1752" s="7" t="n">
        <v>0.00321723567933357</v>
      </c>
    </row>
    <row r="1753" customFormat="false" ht="15" hidden="false" customHeight="true" outlineLevel="0" collapsed="false">
      <c r="A1753" s="5" t="s">
        <v>88</v>
      </c>
      <c r="B1753" s="5" t="s">
        <v>83</v>
      </c>
      <c r="C1753" s="5" t="s">
        <v>739</v>
      </c>
      <c r="D1753" s="6" t="n">
        <v>0.122604606970215</v>
      </c>
      <c r="E1753" s="6" t="n">
        <v>0.0411421844457898</v>
      </c>
      <c r="F1753" s="7" t="n">
        <v>0.00288227860865047</v>
      </c>
    </row>
    <row r="1754" customFormat="false" ht="15" hidden="false" customHeight="true" outlineLevel="0" collapsed="false">
      <c r="A1754" s="5" t="s">
        <v>88</v>
      </c>
      <c r="B1754" s="5" t="s">
        <v>83</v>
      </c>
      <c r="C1754" s="5" t="s">
        <v>791</v>
      </c>
      <c r="D1754" s="6" t="n">
        <v>0.122455116649247</v>
      </c>
      <c r="E1754" s="6" t="n">
        <v>0.0411958089947881</v>
      </c>
      <c r="F1754" s="7" t="n">
        <v>0.00295371793609095</v>
      </c>
    </row>
    <row r="1755" customFormat="false" ht="15" hidden="false" customHeight="true" outlineLevel="0" collapsed="false">
      <c r="A1755" s="5" t="s">
        <v>88</v>
      </c>
      <c r="B1755" s="5" t="s">
        <v>83</v>
      </c>
      <c r="C1755" s="5" t="s">
        <v>740</v>
      </c>
      <c r="D1755" s="6" t="n">
        <v>0.122417035810006</v>
      </c>
      <c r="E1755" s="6" t="n">
        <v>0.0411189998151918</v>
      </c>
      <c r="F1755" s="7" t="n">
        <v>0.00290950731116712</v>
      </c>
    </row>
    <row r="1756" customFormat="false" ht="15" hidden="false" customHeight="true" outlineLevel="0" collapsed="false">
      <c r="A1756" s="5" t="s">
        <v>88</v>
      </c>
      <c r="B1756" s="5" t="s">
        <v>83</v>
      </c>
      <c r="C1756" s="5" t="s">
        <v>741</v>
      </c>
      <c r="D1756" s="6" t="n">
        <v>0.12336527398152</v>
      </c>
      <c r="E1756" s="6" t="n">
        <v>0.0410547254610736</v>
      </c>
      <c r="F1756" s="7" t="n">
        <v>0.0026566967989613</v>
      </c>
    </row>
    <row r="1757" customFormat="false" ht="15" hidden="false" customHeight="true" outlineLevel="0" collapsed="false">
      <c r="A1757" s="5" t="s">
        <v>88</v>
      </c>
      <c r="B1757" s="5" t="s">
        <v>83</v>
      </c>
      <c r="C1757" s="5" t="s">
        <v>742</v>
      </c>
      <c r="D1757" s="6" t="n">
        <v>0.122746097085585</v>
      </c>
      <c r="E1757" s="6" t="n">
        <v>0.041113095282467</v>
      </c>
      <c r="F1757" s="7" t="n">
        <v>0.00283048699325447</v>
      </c>
    </row>
    <row r="1758" customFormat="false" ht="15" hidden="false" customHeight="true" outlineLevel="0" collapsed="false">
      <c r="A1758" s="5" t="s">
        <v>88</v>
      </c>
      <c r="B1758" s="5" t="s">
        <v>83</v>
      </c>
      <c r="C1758" s="5" t="s">
        <v>743</v>
      </c>
      <c r="D1758" s="6" t="n">
        <v>0.121118918493326</v>
      </c>
      <c r="E1758" s="6" t="n">
        <v>0.0411363288078048</v>
      </c>
      <c r="F1758" s="7" t="n">
        <v>0.00323654914375072</v>
      </c>
    </row>
    <row r="1759" customFormat="false" ht="15" hidden="false" customHeight="true" outlineLevel="0" collapsed="false">
      <c r="A1759" s="5" t="s">
        <v>88</v>
      </c>
      <c r="B1759" s="5" t="s">
        <v>83</v>
      </c>
      <c r="C1759" s="5" t="s">
        <v>182</v>
      </c>
      <c r="D1759" s="6" t="n">
        <v>0.126852612449819</v>
      </c>
      <c r="E1759" s="6" t="n">
        <v>0.0405416194522314</v>
      </c>
      <c r="F1759" s="7" t="n">
        <v>0.00175433449576669</v>
      </c>
    </row>
    <row r="1760" customFormat="false" ht="15" hidden="false" customHeight="true" outlineLevel="0" collapsed="false">
      <c r="A1760" s="5" t="s">
        <v>88</v>
      </c>
      <c r="B1760" s="5" t="s">
        <v>83</v>
      </c>
      <c r="C1760" s="5" t="s">
        <v>744</v>
      </c>
      <c r="D1760" s="6" t="n">
        <v>0.123516748760065</v>
      </c>
      <c r="E1760" s="6" t="n">
        <v>0.0410652739236585</v>
      </c>
      <c r="F1760" s="7" t="n">
        <v>0.00263133227666126</v>
      </c>
    </row>
    <row r="1761" customFormat="false" ht="15" hidden="false" customHeight="true" outlineLevel="0" collapsed="false">
      <c r="A1761" s="5" t="s">
        <v>88</v>
      </c>
      <c r="B1761" s="5" t="s">
        <v>83</v>
      </c>
      <c r="C1761" s="5" t="s">
        <v>745</v>
      </c>
      <c r="D1761" s="6" t="n">
        <v>0.120865815766294</v>
      </c>
      <c r="E1761" s="6" t="n">
        <v>0.0411126224377867</v>
      </c>
      <c r="F1761" s="7" t="n">
        <v>0.00328348678003679</v>
      </c>
    </row>
    <row r="1762" customFormat="false" ht="15" hidden="false" customHeight="true" outlineLevel="0" collapsed="false">
      <c r="A1762" s="5" t="s">
        <v>88</v>
      </c>
      <c r="B1762" s="5" t="s">
        <v>83</v>
      </c>
      <c r="C1762" s="5" t="s">
        <v>746</v>
      </c>
      <c r="D1762" s="6" t="n">
        <v>0.120121820067877</v>
      </c>
      <c r="E1762" s="6" t="n">
        <v>0.0413373603481639</v>
      </c>
      <c r="F1762" s="7" t="n">
        <v>0.00366210220547148</v>
      </c>
    </row>
    <row r="1763" customFormat="false" ht="15" hidden="false" customHeight="true" outlineLevel="0" collapsed="false">
      <c r="A1763" s="5" t="s">
        <v>88</v>
      </c>
      <c r="B1763" s="5" t="s">
        <v>83</v>
      </c>
      <c r="C1763" s="5" t="s">
        <v>747</v>
      </c>
      <c r="D1763" s="6" t="n">
        <v>0.122972339790817</v>
      </c>
      <c r="E1763" s="6" t="n">
        <v>0.0410811317990229</v>
      </c>
      <c r="F1763" s="7" t="n">
        <v>0.0027588614510077</v>
      </c>
    </row>
    <row r="1764" customFormat="false" ht="15" hidden="false" customHeight="true" outlineLevel="0" collapsed="false">
      <c r="A1764" s="5" t="s">
        <v>88</v>
      </c>
      <c r="B1764" s="5" t="s">
        <v>83</v>
      </c>
      <c r="C1764" s="5" t="s">
        <v>748</v>
      </c>
      <c r="D1764" s="6" t="n">
        <v>0.118642729586176</v>
      </c>
      <c r="E1764" s="6" t="n">
        <v>0.04091820397682</v>
      </c>
      <c r="F1764" s="7" t="n">
        <v>0.00373746773306478</v>
      </c>
    </row>
    <row r="1765" customFormat="false" ht="15" hidden="false" customHeight="true" outlineLevel="0" collapsed="false">
      <c r="A1765" s="5" t="s">
        <v>88</v>
      </c>
      <c r="B1765" s="5" t="s">
        <v>83</v>
      </c>
      <c r="C1765" s="5" t="s">
        <v>749</v>
      </c>
      <c r="D1765" s="6" t="n">
        <v>0.121854302526671</v>
      </c>
      <c r="E1765" s="6" t="n">
        <v>0.04114531347557</v>
      </c>
      <c r="F1765" s="7" t="n">
        <v>0.00306085140608013</v>
      </c>
    </row>
    <row r="1766" customFormat="false" ht="15" hidden="false" customHeight="true" outlineLevel="0" collapsed="false">
      <c r="A1766" s="5" t="s">
        <v>88</v>
      </c>
      <c r="B1766" s="5" t="s">
        <v>83</v>
      </c>
      <c r="C1766" s="5" t="s">
        <v>750</v>
      </c>
      <c r="D1766" s="6" t="n">
        <v>0.120508943714846</v>
      </c>
      <c r="E1766" s="6" t="n">
        <v>0.0411164735304696</v>
      </c>
      <c r="F1766" s="7" t="n">
        <v>0.00337963794069746</v>
      </c>
    </row>
    <row r="1767" customFormat="false" ht="15" hidden="false" customHeight="true" outlineLevel="0" collapsed="false">
      <c r="A1767" s="5" t="s">
        <v>88</v>
      </c>
      <c r="B1767" s="5" t="s">
        <v>83</v>
      </c>
      <c r="C1767" s="5" t="s">
        <v>751</v>
      </c>
      <c r="D1767" s="6" t="n">
        <v>0.120474980568569</v>
      </c>
      <c r="E1767" s="6" t="n">
        <v>0.0411177559475321</v>
      </c>
      <c r="F1767" s="7" t="n">
        <v>0.00338963180629311</v>
      </c>
    </row>
    <row r="1768" customFormat="false" ht="15" hidden="false" customHeight="true" outlineLevel="0" collapsed="false">
      <c r="A1768" s="5" t="s">
        <v>88</v>
      </c>
      <c r="B1768" s="5" t="s">
        <v>83</v>
      </c>
      <c r="C1768" s="5" t="s">
        <v>752</v>
      </c>
      <c r="D1768" s="6" t="n">
        <v>0.11974869747985</v>
      </c>
      <c r="E1768" s="6" t="n">
        <v>0.0410322656783769</v>
      </c>
      <c r="F1768" s="7" t="n">
        <v>0.00351829037706907</v>
      </c>
    </row>
    <row r="1769" customFormat="false" ht="15" hidden="false" customHeight="true" outlineLevel="0" collapsed="false">
      <c r="A1769" s="5" t="s">
        <v>88</v>
      </c>
      <c r="B1769" s="5" t="s">
        <v>83</v>
      </c>
      <c r="C1769" s="5" t="s">
        <v>753</v>
      </c>
      <c r="D1769" s="6" t="n">
        <v>0.119880807188685</v>
      </c>
      <c r="E1769" s="6" t="n">
        <v>0.0411247452523784</v>
      </c>
      <c r="F1769" s="7" t="n">
        <v>0.00355628277022334</v>
      </c>
    </row>
    <row r="1770" customFormat="false" ht="15" hidden="false" customHeight="true" outlineLevel="0" collapsed="false">
      <c r="A1770" s="5" t="s">
        <v>88</v>
      </c>
      <c r="B1770" s="5" t="s">
        <v>83</v>
      </c>
      <c r="C1770" s="5" t="s">
        <v>754</v>
      </c>
      <c r="D1770" s="6" t="n">
        <v>0.119580599582326</v>
      </c>
      <c r="E1770" s="6" t="n">
        <v>0.0410451343129516</v>
      </c>
      <c r="F1770" s="7" t="n">
        <v>0.00357524545169026</v>
      </c>
    </row>
    <row r="1771" customFormat="false" ht="15" hidden="false" customHeight="true" outlineLevel="0" collapsed="false">
      <c r="A1771" s="5" t="s">
        <v>88</v>
      </c>
      <c r="B1771" s="5" t="s">
        <v>83</v>
      </c>
      <c r="C1771" s="5" t="s">
        <v>755</v>
      </c>
      <c r="D1771" s="6" t="n">
        <v>0.119579566114177</v>
      </c>
      <c r="E1771" s="6" t="n">
        <v>0.041061913179002</v>
      </c>
      <c r="F1771" s="7" t="n">
        <v>0.00358918994537319</v>
      </c>
    </row>
    <row r="1772" customFormat="false" ht="15" hidden="false" customHeight="true" outlineLevel="0" collapsed="false">
      <c r="A1772" s="5" t="s">
        <v>88</v>
      </c>
      <c r="B1772" s="5" t="s">
        <v>83</v>
      </c>
      <c r="C1772" s="5" t="s">
        <v>756</v>
      </c>
      <c r="D1772" s="6" t="n">
        <v>0.120920950973248</v>
      </c>
      <c r="E1772" s="6" t="n">
        <v>0.0411568895220518</v>
      </c>
      <c r="F1772" s="7" t="n">
        <v>0.00330285001847914</v>
      </c>
    </row>
    <row r="1773" customFormat="false" ht="15" hidden="false" customHeight="true" outlineLevel="0" collapsed="false">
      <c r="A1773" s="5" t="s">
        <v>88</v>
      </c>
      <c r="B1773" s="5" t="s">
        <v>83</v>
      </c>
      <c r="C1773" s="5" t="s">
        <v>757</v>
      </c>
      <c r="D1773" s="6" t="n">
        <v>0.121397083695228</v>
      </c>
      <c r="E1773" s="6" t="n">
        <v>0.041160009058148</v>
      </c>
      <c r="F1773" s="7" t="n">
        <v>0.00318397776495332</v>
      </c>
    </row>
    <row r="1774" customFormat="false" ht="15" hidden="false" customHeight="true" outlineLevel="0" collapsed="false">
      <c r="A1774" s="5" t="s">
        <v>88</v>
      </c>
      <c r="B1774" s="5" t="s">
        <v>83</v>
      </c>
      <c r="C1774" s="5" t="s">
        <v>758</v>
      </c>
      <c r="D1774" s="6" t="n">
        <v>0.119935027779494</v>
      </c>
      <c r="E1774" s="6" t="n">
        <v>0.0410099666786192</v>
      </c>
      <c r="F1774" s="7" t="n">
        <v>0.00344972773204115</v>
      </c>
    </row>
    <row r="1775" customFormat="false" ht="15" hidden="false" customHeight="true" outlineLevel="0" collapsed="false">
      <c r="A1775" s="5" t="s">
        <v>88</v>
      </c>
      <c r="B1775" s="5" t="s">
        <v>83</v>
      </c>
      <c r="C1775" s="5" t="s">
        <v>792</v>
      </c>
      <c r="D1775" s="6" t="n">
        <v>0.122290887293246</v>
      </c>
      <c r="E1775" s="6" t="n">
        <v>0.0411201797478172</v>
      </c>
      <c r="F1775" s="7" t="n">
        <v>0.00293957358994302</v>
      </c>
    </row>
    <row r="1776" customFormat="false" ht="15" hidden="false" customHeight="true" outlineLevel="0" collapsed="false">
      <c r="A1776" s="5" t="s">
        <v>88</v>
      </c>
      <c r="B1776" s="5" t="s">
        <v>83</v>
      </c>
      <c r="C1776" s="5" t="s">
        <v>759</v>
      </c>
      <c r="D1776" s="6" t="n">
        <v>0.121521233115973</v>
      </c>
      <c r="E1776" s="6" t="n">
        <v>0.041129491432416</v>
      </c>
      <c r="F1776" s="7" t="n">
        <v>0.00313073742236717</v>
      </c>
    </row>
    <row r="1777" customFormat="false" ht="15" hidden="false" customHeight="true" outlineLevel="0" collapsed="false">
      <c r="A1777" s="5" t="s">
        <v>88</v>
      </c>
      <c r="B1777" s="5" t="s">
        <v>83</v>
      </c>
      <c r="C1777" s="5" t="s">
        <v>760</v>
      </c>
      <c r="D1777" s="6" t="n">
        <v>0.119209503377769</v>
      </c>
      <c r="E1777" s="6" t="n">
        <v>0.0412028985651874</v>
      </c>
      <c r="F1777" s="7" t="n">
        <v>0.00381300752273627</v>
      </c>
    </row>
    <row r="1778" customFormat="false" ht="15" hidden="false" customHeight="true" outlineLevel="0" collapsed="false">
      <c r="A1778" s="5" t="s">
        <v>88</v>
      </c>
      <c r="B1778" s="5" t="s">
        <v>83</v>
      </c>
      <c r="C1778" s="5" t="s">
        <v>761</v>
      </c>
      <c r="D1778" s="6" t="n">
        <v>0.121920162305225</v>
      </c>
      <c r="E1778" s="6" t="n">
        <v>0.0411408366438835</v>
      </c>
      <c r="F1778" s="7" t="n">
        <v>0.00304179047939128</v>
      </c>
    </row>
    <row r="1779" customFormat="false" ht="15" hidden="false" customHeight="true" outlineLevel="0" collapsed="false">
      <c r="A1779" s="5" t="s">
        <v>88</v>
      </c>
      <c r="B1779" s="5" t="s">
        <v>83</v>
      </c>
      <c r="C1779" s="5" t="s">
        <v>762</v>
      </c>
      <c r="D1779" s="6" t="n">
        <v>0.121534614743865</v>
      </c>
      <c r="E1779" s="6" t="n">
        <v>0.0411911831920129</v>
      </c>
      <c r="F1779" s="7" t="n">
        <v>0.00317259328021065</v>
      </c>
    </row>
    <row r="1780" customFormat="false" ht="15" hidden="false" customHeight="true" outlineLevel="0" collapsed="false">
      <c r="A1780" s="5" t="s">
        <v>88</v>
      </c>
      <c r="B1780" s="5" t="s">
        <v>83</v>
      </c>
      <c r="C1780" s="5" t="s">
        <v>763</v>
      </c>
      <c r="D1780" s="6" t="n">
        <v>0.120394955784674</v>
      </c>
      <c r="E1780" s="6" t="n">
        <v>0.0410971587795416</v>
      </c>
      <c r="F1780" s="7" t="n">
        <v>0.00339485774051006</v>
      </c>
    </row>
    <row r="1781" customFormat="false" ht="15" hidden="false" customHeight="true" outlineLevel="0" collapsed="false">
      <c r="A1781" s="5" t="s">
        <v>88</v>
      </c>
      <c r="B1781" s="5" t="s">
        <v>83</v>
      </c>
      <c r="C1781" s="5" t="s">
        <v>764</v>
      </c>
      <c r="D1781" s="6" t="n">
        <v>0.120449683023868</v>
      </c>
      <c r="E1781" s="6" t="n">
        <v>0.0411492529567746</v>
      </c>
      <c r="F1781" s="7" t="n">
        <v>0.00342093280253026</v>
      </c>
    </row>
    <row r="1782" customFormat="false" ht="15" hidden="false" customHeight="true" outlineLevel="0" collapsed="false">
      <c r="A1782" s="5" t="s">
        <v>88</v>
      </c>
      <c r="B1782" s="5" t="s">
        <v>83</v>
      </c>
      <c r="C1782" s="5" t="s">
        <v>765</v>
      </c>
      <c r="D1782" s="6" t="n">
        <v>0.120873001503999</v>
      </c>
      <c r="E1782" s="6" t="n">
        <v>0.0411128016010758</v>
      </c>
      <c r="F1782" s="7" t="n">
        <v>0.00328177084641811</v>
      </c>
    </row>
    <row r="1783" customFormat="false" ht="15" hidden="false" customHeight="true" outlineLevel="0" collapsed="false">
      <c r="A1783" s="5" t="s">
        <v>88</v>
      </c>
      <c r="B1783" s="5" t="s">
        <v>83</v>
      </c>
      <c r="C1783" s="5" t="s">
        <v>306</v>
      </c>
      <c r="D1783" s="6" t="n">
        <v>0.121646954775747</v>
      </c>
      <c r="E1783" s="6" t="n">
        <v>0.0410701638889498</v>
      </c>
      <c r="F1783" s="7" t="n">
        <v>0.00305717176296422</v>
      </c>
    </row>
    <row r="1784" customFormat="false" ht="15" hidden="false" customHeight="true" outlineLevel="0" collapsed="false">
      <c r="A1784" s="5" t="s">
        <v>74</v>
      </c>
      <c r="B1784" s="5" t="s">
        <v>86</v>
      </c>
      <c r="C1784" s="5" t="s">
        <v>205</v>
      </c>
      <c r="D1784" s="6" t="n">
        <v>0.104311723296263</v>
      </c>
      <c r="E1784" s="6" t="n">
        <v>0.0141745996347812</v>
      </c>
      <c r="F1784" s="7" t="n">
        <v>1.85210352026748E-013</v>
      </c>
    </row>
    <row r="1785" customFormat="false" ht="15" hidden="false" customHeight="true" outlineLevel="0" collapsed="false">
      <c r="A1785" s="5" t="s">
        <v>74</v>
      </c>
      <c r="B1785" s="5" t="s">
        <v>86</v>
      </c>
      <c r="C1785" s="5" t="s">
        <v>169</v>
      </c>
      <c r="D1785" s="6" t="n">
        <v>0.10680032656972</v>
      </c>
      <c r="E1785" s="6" t="n">
        <v>0.0141135564469397</v>
      </c>
      <c r="F1785" s="7" t="n">
        <v>3.81308340953439E-014</v>
      </c>
    </row>
    <row r="1786" customFormat="false" ht="15" hidden="false" customHeight="true" outlineLevel="0" collapsed="false">
      <c r="A1786" s="5" t="s">
        <v>74</v>
      </c>
      <c r="B1786" s="5" t="s">
        <v>86</v>
      </c>
      <c r="C1786" s="5" t="s">
        <v>206</v>
      </c>
      <c r="D1786" s="6" t="n">
        <v>0.104935813988799</v>
      </c>
      <c r="E1786" s="6" t="n">
        <v>0.0143067543712099</v>
      </c>
      <c r="F1786" s="7" t="n">
        <v>2.22211418674192E-013</v>
      </c>
    </row>
    <row r="1787" customFormat="false" ht="15" hidden="false" customHeight="true" outlineLevel="0" collapsed="false">
      <c r="A1787" s="5" t="s">
        <v>74</v>
      </c>
      <c r="B1787" s="5" t="s">
        <v>86</v>
      </c>
      <c r="C1787" s="5" t="s">
        <v>207</v>
      </c>
      <c r="D1787" s="6" t="n">
        <v>0.105362879534217</v>
      </c>
      <c r="E1787" s="6" t="n">
        <v>0.0142975799987788</v>
      </c>
      <c r="F1787" s="7" t="n">
        <v>1.71551183985393E-013</v>
      </c>
    </row>
    <row r="1788" customFormat="false" ht="15" hidden="false" customHeight="true" outlineLevel="0" collapsed="false">
      <c r="A1788" s="5" t="s">
        <v>74</v>
      </c>
      <c r="B1788" s="5" t="s">
        <v>86</v>
      </c>
      <c r="C1788" s="5" t="s">
        <v>208</v>
      </c>
      <c r="D1788" s="6" t="n">
        <v>0.106172443329792</v>
      </c>
      <c r="E1788" s="6" t="n">
        <v>0.0142869736842752</v>
      </c>
      <c r="F1788" s="7" t="n">
        <v>1.07441309216983E-013</v>
      </c>
    </row>
    <row r="1789" customFormat="false" ht="15" hidden="false" customHeight="true" outlineLevel="0" collapsed="false">
      <c r="A1789" s="5" t="s">
        <v>74</v>
      </c>
      <c r="B1789" s="5" t="s">
        <v>86</v>
      </c>
      <c r="C1789" s="5" t="s">
        <v>209</v>
      </c>
      <c r="D1789" s="6" t="n">
        <v>0.106720688913633</v>
      </c>
      <c r="E1789" s="6" t="n">
        <v>0.0142124882321205</v>
      </c>
      <c r="F1789" s="7" t="n">
        <v>5.9609076060544E-014</v>
      </c>
    </row>
    <row r="1790" customFormat="false" ht="15" hidden="false" customHeight="true" outlineLevel="0" collapsed="false">
      <c r="A1790" s="5" t="s">
        <v>74</v>
      </c>
      <c r="B1790" s="5" t="s">
        <v>86</v>
      </c>
      <c r="C1790" s="5" t="s">
        <v>210</v>
      </c>
      <c r="D1790" s="6" t="n">
        <v>0.105433358729154</v>
      </c>
      <c r="E1790" s="6" t="n">
        <v>0.0142954929625993</v>
      </c>
      <c r="F1790" s="7" t="n">
        <v>1.63991792951137E-013</v>
      </c>
    </row>
    <row r="1791" customFormat="false" ht="15" hidden="false" customHeight="true" outlineLevel="0" collapsed="false">
      <c r="A1791" s="5" t="s">
        <v>74</v>
      </c>
      <c r="B1791" s="5" t="s">
        <v>86</v>
      </c>
      <c r="C1791" s="5" t="s">
        <v>173</v>
      </c>
      <c r="D1791" s="6" t="n">
        <v>0.101233917367216</v>
      </c>
      <c r="E1791" s="6" t="n">
        <v>0.0138993974238982</v>
      </c>
      <c r="F1791" s="7" t="n">
        <v>3.25675930049273E-013</v>
      </c>
    </row>
    <row r="1792" customFormat="false" ht="15" hidden="false" customHeight="true" outlineLevel="0" collapsed="false">
      <c r="A1792" s="5" t="s">
        <v>74</v>
      </c>
      <c r="B1792" s="5" t="s">
        <v>86</v>
      </c>
      <c r="C1792" s="5" t="s">
        <v>211</v>
      </c>
      <c r="D1792" s="6" t="n">
        <v>0.105343707213006</v>
      </c>
      <c r="E1792" s="6" t="n">
        <v>0.0143071275052155</v>
      </c>
      <c r="F1792" s="7" t="n">
        <v>1.79791536441996E-013</v>
      </c>
    </row>
    <row r="1793" customFormat="false" ht="15" hidden="false" customHeight="true" outlineLevel="0" collapsed="false">
      <c r="A1793" s="5" t="s">
        <v>74</v>
      </c>
      <c r="B1793" s="5" t="s">
        <v>86</v>
      </c>
      <c r="C1793" s="5" t="s">
        <v>198</v>
      </c>
      <c r="D1793" s="6" t="n">
        <v>0.102133938181015</v>
      </c>
      <c r="E1793" s="6" t="n">
        <v>0.0145551614785179</v>
      </c>
      <c r="F1793" s="7" t="n">
        <v>2.26641378091231E-012</v>
      </c>
    </row>
    <row r="1794" customFormat="false" ht="15" hidden="false" customHeight="true" outlineLevel="0" collapsed="false">
      <c r="A1794" s="5" t="s">
        <v>74</v>
      </c>
      <c r="B1794" s="5" t="s">
        <v>86</v>
      </c>
      <c r="C1794" s="5" t="s">
        <v>766</v>
      </c>
      <c r="D1794" s="6" t="n">
        <v>0.106645544881393</v>
      </c>
      <c r="E1794" s="6" t="n">
        <v>0.0143818869397259</v>
      </c>
      <c r="F1794" s="7" t="n">
        <v>1.21379178354468E-013</v>
      </c>
    </row>
    <row r="1795" customFormat="false" ht="15" hidden="false" customHeight="true" outlineLevel="0" collapsed="false">
      <c r="A1795" s="5" t="s">
        <v>74</v>
      </c>
      <c r="B1795" s="5" t="s">
        <v>86</v>
      </c>
      <c r="C1795" s="5" t="s">
        <v>212</v>
      </c>
      <c r="D1795" s="6" t="n">
        <v>0.106238867157555</v>
      </c>
      <c r="E1795" s="6" t="n">
        <v>0.0143073548700431</v>
      </c>
      <c r="F1795" s="7" t="n">
        <v>1.12378192594434E-013</v>
      </c>
    </row>
    <row r="1796" customFormat="false" ht="15" hidden="false" customHeight="true" outlineLevel="0" collapsed="false">
      <c r="A1796" s="5" t="s">
        <v>74</v>
      </c>
      <c r="B1796" s="5" t="s">
        <v>86</v>
      </c>
      <c r="C1796" s="5" t="s">
        <v>213</v>
      </c>
      <c r="D1796" s="6" t="n">
        <v>0.105871620035895</v>
      </c>
      <c r="E1796" s="6" t="n">
        <v>0.0143218710186935</v>
      </c>
      <c r="F1796" s="7" t="n">
        <v>1.44306459466823E-013</v>
      </c>
    </row>
    <row r="1797" customFormat="false" ht="15" hidden="false" customHeight="true" outlineLevel="0" collapsed="false">
      <c r="A1797" s="5" t="s">
        <v>74</v>
      </c>
      <c r="B1797" s="5" t="s">
        <v>86</v>
      </c>
      <c r="C1797" s="5" t="s">
        <v>214</v>
      </c>
      <c r="D1797" s="6" t="n">
        <v>0.105763071706419</v>
      </c>
      <c r="E1797" s="6" t="n">
        <v>0.0142785359565559</v>
      </c>
      <c r="F1797" s="7" t="n">
        <v>1.29055144595823E-013</v>
      </c>
    </row>
    <row r="1798" customFormat="false" ht="15" hidden="false" customHeight="true" outlineLevel="0" collapsed="false">
      <c r="A1798" s="5" t="s">
        <v>74</v>
      </c>
      <c r="B1798" s="5" t="s">
        <v>86</v>
      </c>
      <c r="C1798" s="5" t="s">
        <v>215</v>
      </c>
      <c r="D1798" s="6" t="n">
        <v>0.106711132301849</v>
      </c>
      <c r="E1798" s="6" t="n">
        <v>0.0141644974230241</v>
      </c>
      <c r="F1798" s="7" t="n">
        <v>4.93208236697092E-014</v>
      </c>
    </row>
    <row r="1799" customFormat="false" ht="15" hidden="false" customHeight="true" outlineLevel="0" collapsed="false">
      <c r="A1799" s="5" t="s">
        <v>74</v>
      </c>
      <c r="B1799" s="5" t="s">
        <v>86</v>
      </c>
      <c r="C1799" s="5" t="s">
        <v>216</v>
      </c>
      <c r="D1799" s="6" t="n">
        <v>0.104150674307036</v>
      </c>
      <c r="E1799" s="6" t="n">
        <v>0.0144020399787377</v>
      </c>
      <c r="F1799" s="7" t="n">
        <v>4.77121157014356E-013</v>
      </c>
    </row>
    <row r="1800" customFormat="false" ht="15" hidden="false" customHeight="true" outlineLevel="0" collapsed="false">
      <c r="A1800" s="5" t="s">
        <v>74</v>
      </c>
      <c r="B1800" s="5" t="s">
        <v>86</v>
      </c>
      <c r="C1800" s="5" t="s">
        <v>217</v>
      </c>
      <c r="D1800" s="6" t="n">
        <v>0.102385482900973</v>
      </c>
      <c r="E1800" s="6" t="n">
        <v>0.0141083977529118</v>
      </c>
      <c r="F1800" s="7" t="n">
        <v>3.95595522428942E-013</v>
      </c>
    </row>
    <row r="1801" customFormat="false" ht="15" hidden="false" customHeight="true" outlineLevel="0" collapsed="false">
      <c r="A1801" s="5" t="s">
        <v>74</v>
      </c>
      <c r="B1801" s="5" t="s">
        <v>86</v>
      </c>
      <c r="C1801" s="5" t="s">
        <v>218</v>
      </c>
      <c r="D1801" s="6" t="n">
        <v>0.10584664376995</v>
      </c>
      <c r="E1801" s="6" t="n">
        <v>0.0142893347850766</v>
      </c>
      <c r="F1801" s="7" t="n">
        <v>1.28811407829574E-013</v>
      </c>
    </row>
    <row r="1802" customFormat="false" ht="15" hidden="false" customHeight="true" outlineLevel="0" collapsed="false">
      <c r="A1802" s="5" t="s">
        <v>74</v>
      </c>
      <c r="B1802" s="5" t="s">
        <v>86</v>
      </c>
      <c r="C1802" s="5" t="s">
        <v>219</v>
      </c>
      <c r="D1802" s="6" t="n">
        <v>0.106735124806524</v>
      </c>
      <c r="E1802" s="6" t="n">
        <v>0.0142655566589888</v>
      </c>
      <c r="F1802" s="7" t="n">
        <v>7.31909683537488E-014</v>
      </c>
    </row>
    <row r="1803" customFormat="false" ht="15" hidden="false" customHeight="true" outlineLevel="0" collapsed="false">
      <c r="A1803" s="5" t="s">
        <v>74</v>
      </c>
      <c r="B1803" s="5" t="s">
        <v>86</v>
      </c>
      <c r="C1803" s="5" t="s">
        <v>220</v>
      </c>
      <c r="D1803" s="6" t="n">
        <v>0.105593581925066</v>
      </c>
      <c r="E1803" s="6" t="n">
        <v>0.0142944385427737</v>
      </c>
      <c r="F1803" s="7" t="n">
        <v>1.50134026152508E-013</v>
      </c>
    </row>
    <row r="1804" customFormat="false" ht="15" hidden="false" customHeight="true" outlineLevel="0" collapsed="false">
      <c r="A1804" s="5" t="s">
        <v>74</v>
      </c>
      <c r="B1804" s="5" t="s">
        <v>86</v>
      </c>
      <c r="C1804" s="5" t="s">
        <v>221</v>
      </c>
      <c r="D1804" s="6" t="n">
        <v>0.105877436081769</v>
      </c>
      <c r="E1804" s="6" t="n">
        <v>0.0142863660184281</v>
      </c>
      <c r="F1804" s="7" t="n">
        <v>1.25272692391015E-013</v>
      </c>
    </row>
    <row r="1805" customFormat="false" ht="15" hidden="false" customHeight="true" outlineLevel="0" collapsed="false">
      <c r="A1805" s="5" t="s">
        <v>74</v>
      </c>
      <c r="B1805" s="5" t="s">
        <v>86</v>
      </c>
      <c r="C1805" s="5" t="s">
        <v>222</v>
      </c>
      <c r="D1805" s="6" t="n">
        <v>0.105964048903044</v>
      </c>
      <c r="E1805" s="6" t="n">
        <v>0.0142940014119605</v>
      </c>
      <c r="F1805" s="7" t="n">
        <v>1.23303512354756E-013</v>
      </c>
    </row>
    <row r="1806" customFormat="false" ht="15" hidden="false" customHeight="true" outlineLevel="0" collapsed="false">
      <c r="A1806" s="5" t="s">
        <v>74</v>
      </c>
      <c r="B1806" s="5" t="s">
        <v>86</v>
      </c>
      <c r="C1806" s="5" t="s">
        <v>223</v>
      </c>
      <c r="D1806" s="6" t="n">
        <v>0.105206552873279</v>
      </c>
      <c r="E1806" s="6" t="n">
        <v>0.0143127120315408</v>
      </c>
      <c r="F1806" s="7" t="n">
        <v>1.97367390484316E-013</v>
      </c>
    </row>
    <row r="1807" customFormat="false" ht="15" hidden="false" customHeight="true" outlineLevel="0" collapsed="false">
      <c r="A1807" s="5" t="s">
        <v>74</v>
      </c>
      <c r="B1807" s="5" t="s">
        <v>86</v>
      </c>
      <c r="C1807" s="5" t="s">
        <v>224</v>
      </c>
      <c r="D1807" s="6" t="n">
        <v>0.10519595663627</v>
      </c>
      <c r="E1807" s="6" t="n">
        <v>0.0143148873226986</v>
      </c>
      <c r="F1807" s="7" t="n">
        <v>2.00128748205793E-013</v>
      </c>
    </row>
    <row r="1808" customFormat="false" ht="15" hidden="false" customHeight="true" outlineLevel="0" collapsed="false">
      <c r="A1808" s="5" t="s">
        <v>74</v>
      </c>
      <c r="B1808" s="5" t="s">
        <v>86</v>
      </c>
      <c r="C1808" s="5" t="s">
        <v>225</v>
      </c>
      <c r="D1808" s="6" t="n">
        <v>0.104304510161711</v>
      </c>
      <c r="E1808" s="6" t="n">
        <v>0.0142030292230151</v>
      </c>
      <c r="F1808" s="7" t="n">
        <v>2.07580058101696E-013</v>
      </c>
    </row>
    <row r="1809" customFormat="false" ht="15" hidden="false" customHeight="true" outlineLevel="0" collapsed="false">
      <c r="A1809" s="5" t="s">
        <v>74</v>
      </c>
      <c r="B1809" s="5" t="s">
        <v>86</v>
      </c>
      <c r="C1809" s="5" t="s">
        <v>226</v>
      </c>
      <c r="D1809" s="6" t="n">
        <v>0.103835312313868</v>
      </c>
      <c r="E1809" s="6" t="n">
        <v>0.0141380519286121</v>
      </c>
      <c r="F1809" s="7" t="n">
        <v>2.06705603768879E-013</v>
      </c>
    </row>
    <row r="1810" customFormat="false" ht="15" hidden="false" customHeight="true" outlineLevel="0" collapsed="false">
      <c r="A1810" s="5" t="s">
        <v>74</v>
      </c>
      <c r="B1810" s="5" t="s">
        <v>86</v>
      </c>
      <c r="C1810" s="5" t="s">
        <v>227</v>
      </c>
      <c r="D1810" s="6" t="n">
        <v>0.105353176213048</v>
      </c>
      <c r="E1810" s="6" t="n">
        <v>0.0143098628087629</v>
      </c>
      <c r="F1810" s="7" t="n">
        <v>1.80799078429849E-013</v>
      </c>
    </row>
    <row r="1811" customFormat="false" ht="15" hidden="false" customHeight="true" outlineLevel="0" collapsed="false">
      <c r="A1811" s="5" t="s">
        <v>74</v>
      </c>
      <c r="B1811" s="5" t="s">
        <v>86</v>
      </c>
      <c r="C1811" s="5" t="s">
        <v>228</v>
      </c>
      <c r="D1811" s="6" t="n">
        <v>0.105947302570588</v>
      </c>
      <c r="E1811" s="6" t="n">
        <v>0.0142852892492643</v>
      </c>
      <c r="F1811" s="7" t="n">
        <v>1.20226987952346E-013</v>
      </c>
    </row>
    <row r="1812" customFormat="false" ht="15" hidden="false" customHeight="true" outlineLevel="0" collapsed="false">
      <c r="A1812" s="5" t="s">
        <v>74</v>
      </c>
      <c r="B1812" s="5" t="s">
        <v>86</v>
      </c>
      <c r="C1812" s="5" t="s">
        <v>177</v>
      </c>
      <c r="D1812" s="6" t="n">
        <v>0.102298493740702</v>
      </c>
      <c r="E1812" s="6" t="n">
        <v>0.0135692422693886</v>
      </c>
      <c r="F1812" s="7" t="n">
        <v>4.73595321319908E-014</v>
      </c>
    </row>
    <row r="1813" customFormat="false" ht="15" hidden="false" customHeight="true" outlineLevel="0" collapsed="false">
      <c r="A1813" s="5" t="s">
        <v>74</v>
      </c>
      <c r="B1813" s="5" t="s">
        <v>86</v>
      </c>
      <c r="C1813" s="5" t="s">
        <v>229</v>
      </c>
      <c r="D1813" s="6" t="n">
        <v>0.106368987114126</v>
      </c>
      <c r="E1813" s="6" t="n">
        <v>0.0142945004441335</v>
      </c>
      <c r="F1813" s="7" t="n">
        <v>9.97351047127298E-014</v>
      </c>
    </row>
    <row r="1814" customFormat="false" ht="15" hidden="false" customHeight="true" outlineLevel="0" collapsed="false">
      <c r="A1814" s="5" t="s">
        <v>74</v>
      </c>
      <c r="B1814" s="5" t="s">
        <v>86</v>
      </c>
      <c r="C1814" s="5" t="s">
        <v>230</v>
      </c>
      <c r="D1814" s="6" t="n">
        <v>0.103676789565346</v>
      </c>
      <c r="E1814" s="6" t="n">
        <v>0.014301005866428</v>
      </c>
      <c r="F1814" s="7" t="n">
        <v>4.17957330573855E-013</v>
      </c>
    </row>
    <row r="1815" customFormat="false" ht="15" hidden="false" customHeight="true" outlineLevel="0" collapsed="false">
      <c r="A1815" s="5" t="s">
        <v>74</v>
      </c>
      <c r="B1815" s="5" t="s">
        <v>86</v>
      </c>
      <c r="C1815" s="5" t="s">
        <v>231</v>
      </c>
      <c r="D1815" s="6" t="n">
        <v>0.104284077030671</v>
      </c>
      <c r="E1815" s="6" t="n">
        <v>0.0143053724983322</v>
      </c>
      <c r="F1815" s="7" t="n">
        <v>3.10291077854583E-013</v>
      </c>
    </row>
    <row r="1816" customFormat="false" ht="15" hidden="false" customHeight="true" outlineLevel="0" collapsed="false">
      <c r="A1816" s="5" t="s">
        <v>74</v>
      </c>
      <c r="B1816" s="5" t="s">
        <v>86</v>
      </c>
      <c r="C1816" s="5" t="s">
        <v>199</v>
      </c>
      <c r="D1816" s="6" t="n">
        <v>0.105808138498877</v>
      </c>
      <c r="E1816" s="6" t="n">
        <v>0.0143419593935876</v>
      </c>
      <c r="F1816" s="7" t="n">
        <v>1.61261249200584E-013</v>
      </c>
    </row>
    <row r="1817" customFormat="false" ht="15" hidden="false" customHeight="true" outlineLevel="0" collapsed="false">
      <c r="A1817" s="5" t="s">
        <v>74</v>
      </c>
      <c r="B1817" s="5" t="s">
        <v>86</v>
      </c>
      <c r="C1817" s="5" t="s">
        <v>767</v>
      </c>
      <c r="D1817" s="6" t="n">
        <v>0.104863405088756</v>
      </c>
      <c r="E1817" s="6" t="n">
        <v>0.0142660286278173</v>
      </c>
      <c r="F1817" s="7" t="n">
        <v>1.97367212877344E-013</v>
      </c>
    </row>
    <row r="1818" customFormat="false" ht="15" hidden="false" customHeight="true" outlineLevel="0" collapsed="false">
      <c r="A1818" s="5" t="s">
        <v>74</v>
      </c>
      <c r="B1818" s="5" t="s">
        <v>86</v>
      </c>
      <c r="C1818" s="5" t="s">
        <v>232</v>
      </c>
      <c r="D1818" s="6" t="n">
        <v>0.107121457322913</v>
      </c>
      <c r="E1818" s="6" t="n">
        <v>0.014076293850994</v>
      </c>
      <c r="F1818" s="7" t="n">
        <v>2.73966216676037E-014</v>
      </c>
    </row>
    <row r="1819" customFormat="false" ht="15" hidden="false" customHeight="true" outlineLevel="0" collapsed="false">
      <c r="A1819" s="5" t="s">
        <v>74</v>
      </c>
      <c r="B1819" s="5" t="s">
        <v>86</v>
      </c>
      <c r="C1819" s="5" t="s">
        <v>233</v>
      </c>
      <c r="D1819" s="6" t="n">
        <v>0.104011074494857</v>
      </c>
      <c r="E1819" s="6" t="n">
        <v>0.0142990176145583</v>
      </c>
      <c r="F1819" s="7" t="n">
        <v>3.48992303847042E-013</v>
      </c>
    </row>
    <row r="1820" customFormat="false" ht="15" hidden="false" customHeight="true" outlineLevel="0" collapsed="false">
      <c r="A1820" s="5" t="s">
        <v>74</v>
      </c>
      <c r="B1820" s="5" t="s">
        <v>86</v>
      </c>
      <c r="C1820" s="5" t="s">
        <v>234</v>
      </c>
      <c r="D1820" s="6" t="n">
        <v>0.105734870552314</v>
      </c>
      <c r="E1820" s="6" t="n">
        <v>0.0142896445036808</v>
      </c>
      <c r="F1820" s="7" t="n">
        <v>1.36795788913614E-013</v>
      </c>
    </row>
    <row r="1821" customFormat="false" ht="15" hidden="false" customHeight="true" outlineLevel="0" collapsed="false">
      <c r="A1821" s="5" t="s">
        <v>74</v>
      </c>
      <c r="B1821" s="5" t="s">
        <v>86</v>
      </c>
      <c r="C1821" s="5" t="s">
        <v>235</v>
      </c>
      <c r="D1821" s="6" t="n">
        <v>0.105649251676613</v>
      </c>
      <c r="E1821" s="6" t="n">
        <v>0.014290304312404</v>
      </c>
      <c r="F1821" s="7" t="n">
        <v>1.43474507898866E-013</v>
      </c>
    </row>
    <row r="1822" customFormat="false" ht="15" hidden="false" customHeight="true" outlineLevel="0" collapsed="false">
      <c r="A1822" s="5" t="s">
        <v>74</v>
      </c>
      <c r="B1822" s="5" t="s">
        <v>86</v>
      </c>
      <c r="C1822" s="5" t="s">
        <v>236</v>
      </c>
      <c r="D1822" s="6" t="n">
        <v>0.105722131675109</v>
      </c>
      <c r="E1822" s="6" t="n">
        <v>0.0143031261972635</v>
      </c>
      <c r="F1822" s="7" t="n">
        <v>1.45137714065023E-013</v>
      </c>
    </row>
    <row r="1823" customFormat="false" ht="15" hidden="false" customHeight="true" outlineLevel="0" collapsed="false">
      <c r="A1823" s="5" t="s">
        <v>74</v>
      </c>
      <c r="B1823" s="5" t="s">
        <v>86</v>
      </c>
      <c r="C1823" s="5" t="s">
        <v>237</v>
      </c>
      <c r="D1823" s="6" t="n">
        <v>0.104839349859969</v>
      </c>
      <c r="E1823" s="6" t="n">
        <v>0.0142613630879133</v>
      </c>
      <c r="F1823" s="7" t="n">
        <v>1.96309789873824E-013</v>
      </c>
    </row>
    <row r="1824" customFormat="false" ht="15" hidden="false" customHeight="true" outlineLevel="0" collapsed="false">
      <c r="A1824" s="5" t="s">
        <v>74</v>
      </c>
      <c r="B1824" s="5" t="s">
        <v>86</v>
      </c>
      <c r="C1824" s="5" t="s">
        <v>238</v>
      </c>
      <c r="D1824" s="6" t="n">
        <v>0.104341757377381</v>
      </c>
      <c r="E1824" s="6" t="n">
        <v>0.014278232632643</v>
      </c>
      <c r="F1824" s="7" t="n">
        <v>2.71652193092147E-013</v>
      </c>
    </row>
    <row r="1825" customFormat="false" ht="15" hidden="false" customHeight="true" outlineLevel="0" collapsed="false">
      <c r="A1825" s="5" t="s">
        <v>74</v>
      </c>
      <c r="B1825" s="5" t="s">
        <v>86</v>
      </c>
      <c r="C1825" s="5" t="s">
        <v>239</v>
      </c>
      <c r="D1825" s="6" t="n">
        <v>0.103207727557964</v>
      </c>
      <c r="E1825" s="6" t="n">
        <v>0.0142333607202109</v>
      </c>
      <c r="F1825" s="7" t="n">
        <v>4.13356208669373E-013</v>
      </c>
    </row>
    <row r="1826" customFormat="false" ht="15" hidden="false" customHeight="true" outlineLevel="0" collapsed="false">
      <c r="A1826" s="5" t="s">
        <v>74</v>
      </c>
      <c r="B1826" s="5" t="s">
        <v>86</v>
      </c>
      <c r="C1826" s="5" t="s">
        <v>240</v>
      </c>
      <c r="D1826" s="6" t="n">
        <v>0.104672818834511</v>
      </c>
      <c r="E1826" s="6" t="n">
        <v>0.0143315839598987</v>
      </c>
      <c r="F1826" s="7" t="n">
        <v>2.80072225807312E-013</v>
      </c>
    </row>
    <row r="1827" customFormat="false" ht="15" hidden="false" customHeight="true" outlineLevel="0" collapsed="false">
      <c r="A1827" s="5" t="s">
        <v>74</v>
      </c>
      <c r="B1827" s="5" t="s">
        <v>86</v>
      </c>
      <c r="C1827" s="5" t="s">
        <v>241</v>
      </c>
      <c r="D1827" s="6" t="n">
        <v>0.104001665003686</v>
      </c>
      <c r="E1827" s="6" t="n">
        <v>0.0143243452215551</v>
      </c>
      <c r="F1827" s="7" t="n">
        <v>3.85710516675375E-013</v>
      </c>
    </row>
    <row r="1828" customFormat="false" ht="15" hidden="false" customHeight="true" outlineLevel="0" collapsed="false">
      <c r="A1828" s="5" t="s">
        <v>74</v>
      </c>
      <c r="B1828" s="5" t="s">
        <v>86</v>
      </c>
      <c r="C1828" s="5" t="s">
        <v>242</v>
      </c>
      <c r="D1828" s="6" t="n">
        <v>0.105024679237447</v>
      </c>
      <c r="E1828" s="6" t="n">
        <v>0.0143013389421316</v>
      </c>
      <c r="F1828" s="7" t="n">
        <v>2.07775447318978E-013</v>
      </c>
    </row>
    <row r="1829" customFormat="false" ht="15" hidden="false" customHeight="true" outlineLevel="0" collapsed="false">
      <c r="A1829" s="5" t="s">
        <v>74</v>
      </c>
      <c r="B1829" s="5" t="s">
        <v>86</v>
      </c>
      <c r="C1829" s="5" t="s">
        <v>243</v>
      </c>
      <c r="D1829" s="6" t="n">
        <v>0.106816371060934</v>
      </c>
      <c r="E1829" s="6" t="n">
        <v>0.0142687159363783</v>
      </c>
      <c r="F1829" s="7" t="n">
        <v>7.09754661890537E-014</v>
      </c>
    </row>
    <row r="1830" customFormat="false" ht="15" hidden="false" customHeight="true" outlineLevel="0" collapsed="false">
      <c r="A1830" s="5" t="s">
        <v>74</v>
      </c>
      <c r="B1830" s="5" t="s">
        <v>86</v>
      </c>
      <c r="C1830" s="5" t="s">
        <v>244</v>
      </c>
      <c r="D1830" s="6" t="n">
        <v>0.105240131722265</v>
      </c>
      <c r="E1830" s="6" t="n">
        <v>0.0143048323533213</v>
      </c>
      <c r="F1830" s="7" t="n">
        <v>1.88140546425642E-013</v>
      </c>
    </row>
    <row r="1831" customFormat="false" ht="15" hidden="false" customHeight="true" outlineLevel="0" collapsed="false">
      <c r="A1831" s="5" t="s">
        <v>74</v>
      </c>
      <c r="B1831" s="5" t="s">
        <v>86</v>
      </c>
      <c r="C1831" s="5" t="s">
        <v>245</v>
      </c>
      <c r="D1831" s="6" t="n">
        <v>0.105186263112268</v>
      </c>
      <c r="E1831" s="6" t="n">
        <v>0.0143198638523734</v>
      </c>
      <c r="F1831" s="7" t="n">
        <v>2.05023101412107E-013</v>
      </c>
    </row>
    <row r="1832" customFormat="false" ht="15" hidden="false" customHeight="true" outlineLevel="0" collapsed="false">
      <c r="A1832" s="5" t="s">
        <v>74</v>
      </c>
      <c r="B1832" s="5" t="s">
        <v>86</v>
      </c>
      <c r="C1832" s="5" t="s">
        <v>246</v>
      </c>
      <c r="D1832" s="6" t="n">
        <v>0.105787751618813</v>
      </c>
      <c r="E1832" s="6" t="n">
        <v>0.0142874791737356</v>
      </c>
      <c r="F1832" s="7" t="n">
        <v>1.31915731402729E-013</v>
      </c>
    </row>
    <row r="1833" customFormat="false" ht="15" hidden="false" customHeight="true" outlineLevel="0" collapsed="false">
      <c r="A1833" s="5" t="s">
        <v>74</v>
      </c>
      <c r="B1833" s="5" t="s">
        <v>86</v>
      </c>
      <c r="C1833" s="5" t="s">
        <v>247</v>
      </c>
      <c r="D1833" s="6" t="n">
        <v>0.105129253553362</v>
      </c>
      <c r="E1833" s="6" t="n">
        <v>0.0143268001794913</v>
      </c>
      <c r="F1833" s="7" t="n">
        <v>2.16900315868817E-013</v>
      </c>
    </row>
    <row r="1834" customFormat="false" ht="15" hidden="false" customHeight="true" outlineLevel="0" collapsed="false">
      <c r="A1834" s="5" t="s">
        <v>74</v>
      </c>
      <c r="B1834" s="5" t="s">
        <v>86</v>
      </c>
      <c r="C1834" s="5" t="s">
        <v>248</v>
      </c>
      <c r="D1834" s="6" t="n">
        <v>0.106166055803469</v>
      </c>
      <c r="E1834" s="6" t="n">
        <v>0.014234984351944</v>
      </c>
      <c r="F1834" s="7" t="n">
        <v>8.77734727132061E-014</v>
      </c>
    </row>
    <row r="1835" customFormat="false" ht="15" hidden="false" customHeight="true" outlineLevel="0" collapsed="false">
      <c r="A1835" s="5" t="s">
        <v>74</v>
      </c>
      <c r="B1835" s="5" t="s">
        <v>86</v>
      </c>
      <c r="C1835" s="5" t="s">
        <v>249</v>
      </c>
      <c r="D1835" s="6" t="n">
        <v>0.10685568937732</v>
      </c>
      <c r="E1835" s="6" t="n">
        <v>0.0143051214981558</v>
      </c>
      <c r="F1835" s="7" t="n">
        <v>8.03469781541984E-014</v>
      </c>
    </row>
    <row r="1836" customFormat="false" ht="15" hidden="false" customHeight="true" outlineLevel="0" collapsed="false">
      <c r="A1836" s="5" t="s">
        <v>74</v>
      </c>
      <c r="B1836" s="5" t="s">
        <v>86</v>
      </c>
      <c r="C1836" s="5" t="s">
        <v>250</v>
      </c>
      <c r="D1836" s="6" t="n">
        <v>0.107101951595672</v>
      </c>
      <c r="E1836" s="6" t="n">
        <v>0.0141721372308504</v>
      </c>
      <c r="F1836" s="7" t="n">
        <v>4.11776812728282E-014</v>
      </c>
    </row>
    <row r="1837" customFormat="false" ht="15" hidden="false" customHeight="true" outlineLevel="0" collapsed="false">
      <c r="A1837" s="5" t="s">
        <v>74</v>
      </c>
      <c r="B1837" s="5" t="s">
        <v>86</v>
      </c>
      <c r="C1837" s="5" t="s">
        <v>251</v>
      </c>
      <c r="D1837" s="6" t="n">
        <v>0.105196267269436</v>
      </c>
      <c r="E1837" s="6" t="n">
        <v>0.0143035917966485</v>
      </c>
      <c r="F1837" s="7" t="n">
        <v>1.91592823544623E-013</v>
      </c>
    </row>
    <row r="1838" customFormat="false" ht="15" hidden="false" customHeight="true" outlineLevel="0" collapsed="false">
      <c r="A1838" s="5" t="s">
        <v>74</v>
      </c>
      <c r="B1838" s="5" t="s">
        <v>86</v>
      </c>
      <c r="C1838" s="5" t="s">
        <v>252</v>
      </c>
      <c r="D1838" s="6" t="n">
        <v>0.106260493830954</v>
      </c>
      <c r="E1838" s="6" t="n">
        <v>0.0142446182114164</v>
      </c>
      <c r="F1838" s="7" t="n">
        <v>8.67236131356202E-014</v>
      </c>
    </row>
    <row r="1839" customFormat="false" ht="15" hidden="false" customHeight="true" outlineLevel="0" collapsed="false">
      <c r="A1839" s="5" t="s">
        <v>74</v>
      </c>
      <c r="B1839" s="5" t="s">
        <v>86</v>
      </c>
      <c r="C1839" s="5" t="s">
        <v>253</v>
      </c>
      <c r="D1839" s="6" t="n">
        <v>0.106606133415288</v>
      </c>
      <c r="E1839" s="6" t="n">
        <v>0.0142382643564238</v>
      </c>
      <c r="F1839" s="7" t="n">
        <v>7.03057555143642E-014</v>
      </c>
    </row>
    <row r="1840" customFormat="false" ht="15" hidden="false" customHeight="true" outlineLevel="0" collapsed="false">
      <c r="A1840" s="5" t="s">
        <v>74</v>
      </c>
      <c r="B1840" s="5" t="s">
        <v>86</v>
      </c>
      <c r="C1840" s="5" t="s">
        <v>254</v>
      </c>
      <c r="D1840" s="6" t="n">
        <v>0.107611328741879</v>
      </c>
      <c r="E1840" s="6" t="n">
        <v>0.0142514510505923</v>
      </c>
      <c r="F1840" s="7" t="n">
        <v>4.32249704241718E-014</v>
      </c>
    </row>
    <row r="1841" customFormat="false" ht="15" hidden="false" customHeight="true" outlineLevel="0" collapsed="false">
      <c r="A1841" s="5" t="s">
        <v>74</v>
      </c>
      <c r="B1841" s="5" t="s">
        <v>86</v>
      </c>
      <c r="C1841" s="5" t="s">
        <v>255</v>
      </c>
      <c r="D1841" s="6" t="n">
        <v>0.102547884880464</v>
      </c>
      <c r="E1841" s="6" t="n">
        <v>0.0139653417402523</v>
      </c>
      <c r="F1841" s="7" t="n">
        <v>2.08815999523948E-013</v>
      </c>
    </row>
    <row r="1842" customFormat="false" ht="15" hidden="false" customHeight="true" outlineLevel="0" collapsed="false">
      <c r="A1842" s="5" t="s">
        <v>74</v>
      </c>
      <c r="B1842" s="5" t="s">
        <v>86</v>
      </c>
      <c r="C1842" s="5" t="s">
        <v>256</v>
      </c>
      <c r="D1842" s="6" t="n">
        <v>0.105075666251588</v>
      </c>
      <c r="E1842" s="6" t="n">
        <v>0.0143406701520115</v>
      </c>
      <c r="F1842" s="7" t="n">
        <v>2.35168969552938E-013</v>
      </c>
    </row>
    <row r="1843" customFormat="false" ht="15" hidden="false" customHeight="true" outlineLevel="0" collapsed="false">
      <c r="A1843" s="5" t="s">
        <v>74</v>
      </c>
      <c r="B1843" s="5" t="s">
        <v>86</v>
      </c>
      <c r="C1843" s="5" t="s">
        <v>257</v>
      </c>
      <c r="D1843" s="6" t="n">
        <v>0.105802958432623</v>
      </c>
      <c r="E1843" s="6" t="n">
        <v>0.0142950721046065</v>
      </c>
      <c r="F1843" s="7" t="n">
        <v>1.34797911732878E-013</v>
      </c>
    </row>
    <row r="1844" customFormat="false" ht="15" hidden="false" customHeight="true" outlineLevel="0" collapsed="false">
      <c r="A1844" s="5" t="s">
        <v>74</v>
      </c>
      <c r="B1844" s="5" t="s">
        <v>86</v>
      </c>
      <c r="C1844" s="5" t="s">
        <v>258</v>
      </c>
      <c r="D1844" s="6" t="n">
        <v>0.105204623231783</v>
      </c>
      <c r="E1844" s="6" t="n">
        <v>0.0143092281827026</v>
      </c>
      <c r="F1844" s="7" t="n">
        <v>1.94938579114809E-013</v>
      </c>
    </row>
    <row r="1845" customFormat="false" ht="15" hidden="false" customHeight="true" outlineLevel="0" collapsed="false">
      <c r="A1845" s="5" t="s">
        <v>74</v>
      </c>
      <c r="B1845" s="5" t="s">
        <v>86</v>
      </c>
      <c r="C1845" s="5" t="s">
        <v>259</v>
      </c>
      <c r="D1845" s="6" t="n">
        <v>0.108468066528651</v>
      </c>
      <c r="E1845" s="6" t="n">
        <v>0.0144425114563436</v>
      </c>
      <c r="F1845" s="7" t="n">
        <v>5.89772679974184E-014</v>
      </c>
    </row>
    <row r="1846" customFormat="false" ht="15" hidden="false" customHeight="true" outlineLevel="0" collapsed="false">
      <c r="A1846" s="5" t="s">
        <v>74</v>
      </c>
      <c r="B1846" s="5" t="s">
        <v>86</v>
      </c>
      <c r="C1846" s="5" t="s">
        <v>260</v>
      </c>
      <c r="D1846" s="6" t="n">
        <v>0.103682328405032</v>
      </c>
      <c r="E1846" s="6" t="n">
        <v>0.0142849933265751</v>
      </c>
      <c r="F1846" s="7" t="n">
        <v>3.92480338057356E-013</v>
      </c>
    </row>
    <row r="1847" customFormat="false" ht="15" hidden="false" customHeight="true" outlineLevel="0" collapsed="false">
      <c r="A1847" s="5" t="s">
        <v>74</v>
      </c>
      <c r="B1847" s="5" t="s">
        <v>86</v>
      </c>
      <c r="C1847" s="5" t="s">
        <v>261</v>
      </c>
      <c r="D1847" s="6" t="n">
        <v>0.105165997584588</v>
      </c>
      <c r="E1847" s="6" t="n">
        <v>0.0143023940135657</v>
      </c>
      <c r="F1847" s="7" t="n">
        <v>1.9375680224202E-013</v>
      </c>
    </row>
    <row r="1848" customFormat="false" ht="15" hidden="false" customHeight="true" outlineLevel="0" collapsed="false">
      <c r="A1848" s="5" t="s">
        <v>74</v>
      </c>
      <c r="B1848" s="5" t="s">
        <v>86</v>
      </c>
      <c r="C1848" s="5" t="s">
        <v>262</v>
      </c>
      <c r="D1848" s="6" t="n">
        <v>0.10487401318863</v>
      </c>
      <c r="E1848" s="6" t="n">
        <v>0.0142837521140498</v>
      </c>
      <c r="F1848" s="7" t="n">
        <v>2.10127766448024E-013</v>
      </c>
    </row>
    <row r="1849" customFormat="false" ht="15" hidden="false" customHeight="true" outlineLevel="0" collapsed="false">
      <c r="A1849" s="5" t="s">
        <v>74</v>
      </c>
      <c r="B1849" s="5" t="s">
        <v>86</v>
      </c>
      <c r="C1849" s="5" t="s">
        <v>263</v>
      </c>
      <c r="D1849" s="6" t="n">
        <v>0.105312207340264</v>
      </c>
      <c r="E1849" s="6" t="n">
        <v>0.0143128904166498</v>
      </c>
      <c r="F1849" s="7" t="n">
        <v>1.86885460918133E-013</v>
      </c>
    </row>
    <row r="1850" customFormat="false" ht="15" hidden="false" customHeight="true" outlineLevel="0" collapsed="false">
      <c r="A1850" s="5" t="s">
        <v>74</v>
      </c>
      <c r="B1850" s="5" t="s">
        <v>86</v>
      </c>
      <c r="C1850" s="5" t="s">
        <v>264</v>
      </c>
      <c r="D1850" s="6" t="n">
        <v>0.104954710273943</v>
      </c>
      <c r="E1850" s="6" t="n">
        <v>0.0143072913930738</v>
      </c>
      <c r="F1850" s="7" t="n">
        <v>2.20483547787662E-013</v>
      </c>
    </row>
    <row r="1851" customFormat="false" ht="15" hidden="false" customHeight="true" outlineLevel="0" collapsed="false">
      <c r="A1851" s="5" t="s">
        <v>74</v>
      </c>
      <c r="B1851" s="5" t="s">
        <v>86</v>
      </c>
      <c r="C1851" s="5" t="s">
        <v>265</v>
      </c>
      <c r="D1851" s="6" t="n">
        <v>0.106757945618399</v>
      </c>
      <c r="E1851" s="6" t="n">
        <v>0.0141837980044692</v>
      </c>
      <c r="F1851" s="7" t="n">
        <v>5.20175964126718E-014</v>
      </c>
    </row>
    <row r="1852" customFormat="false" ht="15" hidden="false" customHeight="true" outlineLevel="0" collapsed="false">
      <c r="A1852" s="5" t="s">
        <v>74</v>
      </c>
      <c r="B1852" s="5" t="s">
        <v>86</v>
      </c>
      <c r="C1852" s="5" t="s">
        <v>266</v>
      </c>
      <c r="D1852" s="6" t="n">
        <v>0.105244756747278</v>
      </c>
      <c r="E1852" s="6" t="n">
        <v>0.0143470850837205</v>
      </c>
      <c r="F1852" s="7" t="n">
        <v>2.20698257710275E-013</v>
      </c>
    </row>
    <row r="1853" customFormat="false" ht="15" hidden="false" customHeight="true" outlineLevel="0" collapsed="false">
      <c r="A1853" s="5" t="s">
        <v>74</v>
      </c>
      <c r="B1853" s="5" t="s">
        <v>86</v>
      </c>
      <c r="C1853" s="5" t="s">
        <v>267</v>
      </c>
      <c r="D1853" s="6" t="n">
        <v>0.106826544874315</v>
      </c>
      <c r="E1853" s="6" t="n">
        <v>0.0142872713945607</v>
      </c>
      <c r="F1853" s="7" t="n">
        <v>7.60134555133622E-014</v>
      </c>
    </row>
    <row r="1854" customFormat="false" ht="15" hidden="false" customHeight="true" outlineLevel="0" collapsed="false">
      <c r="A1854" s="5" t="s">
        <v>74</v>
      </c>
      <c r="B1854" s="5" t="s">
        <v>86</v>
      </c>
      <c r="C1854" s="5" t="s">
        <v>268</v>
      </c>
      <c r="D1854" s="6" t="n">
        <v>0.106682994661309</v>
      </c>
      <c r="E1854" s="6" t="n">
        <v>0.0140975134855947</v>
      </c>
      <c r="F1854" s="7" t="n">
        <v>3.8046243181843E-014</v>
      </c>
    </row>
    <row r="1855" customFormat="false" ht="15" hidden="false" customHeight="true" outlineLevel="0" collapsed="false">
      <c r="A1855" s="5" t="s">
        <v>74</v>
      </c>
      <c r="B1855" s="5" t="s">
        <v>86</v>
      </c>
      <c r="C1855" s="5" t="s">
        <v>269</v>
      </c>
      <c r="D1855" s="6" t="n">
        <v>0.104188918553087</v>
      </c>
      <c r="E1855" s="6" t="n">
        <v>0.014233924392051</v>
      </c>
      <c r="F1855" s="7" t="n">
        <v>2.48413773314648E-013</v>
      </c>
    </row>
    <row r="1856" customFormat="false" ht="15" hidden="false" customHeight="true" outlineLevel="0" collapsed="false">
      <c r="A1856" s="5" t="s">
        <v>74</v>
      </c>
      <c r="B1856" s="5" t="s">
        <v>86</v>
      </c>
      <c r="C1856" s="5" t="s">
        <v>270</v>
      </c>
      <c r="D1856" s="6" t="n">
        <v>0.103532312879377</v>
      </c>
      <c r="E1856" s="6" t="n">
        <v>0.0140371963207067</v>
      </c>
      <c r="F1856" s="7" t="n">
        <v>1.63644368759927E-013</v>
      </c>
    </row>
    <row r="1857" customFormat="false" ht="15" hidden="false" customHeight="true" outlineLevel="0" collapsed="false">
      <c r="A1857" s="5" t="s">
        <v>74</v>
      </c>
      <c r="B1857" s="5" t="s">
        <v>86</v>
      </c>
      <c r="C1857" s="5" t="s">
        <v>768</v>
      </c>
      <c r="D1857" s="6" t="n">
        <v>0.105735956474578</v>
      </c>
      <c r="E1857" s="6" t="n">
        <v>0.014301105690916</v>
      </c>
      <c r="F1857" s="7" t="n">
        <v>1.4295841600374E-013</v>
      </c>
    </row>
    <row r="1858" customFormat="false" ht="15" hidden="false" customHeight="true" outlineLevel="0" collapsed="false">
      <c r="A1858" s="5" t="s">
        <v>74</v>
      </c>
      <c r="B1858" s="5" t="s">
        <v>86</v>
      </c>
      <c r="C1858" s="5" t="s">
        <v>271</v>
      </c>
      <c r="D1858" s="6" t="n">
        <v>0.105722686152861</v>
      </c>
      <c r="E1858" s="6" t="n">
        <v>0.0143034067627368</v>
      </c>
      <c r="F1858" s="7" t="n">
        <v>1.45253728949807E-013</v>
      </c>
    </row>
    <row r="1859" customFormat="false" ht="15" hidden="false" customHeight="true" outlineLevel="0" collapsed="false">
      <c r="A1859" s="5" t="s">
        <v>74</v>
      </c>
      <c r="B1859" s="5" t="s">
        <v>86</v>
      </c>
      <c r="C1859" s="5" t="s">
        <v>272</v>
      </c>
      <c r="D1859" s="6" t="n">
        <v>0.105609022211914</v>
      </c>
      <c r="E1859" s="6" t="n">
        <v>0.0143060302383544</v>
      </c>
      <c r="F1859" s="7" t="n">
        <v>1.55773111866561E-013</v>
      </c>
    </row>
    <row r="1860" customFormat="false" ht="15" hidden="false" customHeight="true" outlineLevel="0" collapsed="false">
      <c r="A1860" s="5" t="s">
        <v>74</v>
      </c>
      <c r="B1860" s="5" t="s">
        <v>86</v>
      </c>
      <c r="C1860" s="5" t="s">
        <v>273</v>
      </c>
      <c r="D1860" s="6" t="n">
        <v>0.105522922161733</v>
      </c>
      <c r="E1860" s="6" t="n">
        <v>0.0143061446813196</v>
      </c>
      <c r="F1860" s="7" t="n">
        <v>1.63047639646064E-013</v>
      </c>
    </row>
    <row r="1861" customFormat="false" ht="15" hidden="false" customHeight="true" outlineLevel="0" collapsed="false">
      <c r="A1861" s="5" t="s">
        <v>74</v>
      </c>
      <c r="B1861" s="5" t="s">
        <v>86</v>
      </c>
      <c r="C1861" s="5" t="s">
        <v>274</v>
      </c>
      <c r="D1861" s="6" t="n">
        <v>0.105197391106338</v>
      </c>
      <c r="E1861" s="6" t="n">
        <v>0.0145028921396847</v>
      </c>
      <c r="F1861" s="7" t="n">
        <v>4.0600026610956E-013</v>
      </c>
    </row>
    <row r="1862" customFormat="false" ht="15" hidden="false" customHeight="true" outlineLevel="0" collapsed="false">
      <c r="A1862" s="5" t="s">
        <v>74</v>
      </c>
      <c r="B1862" s="5" t="s">
        <v>86</v>
      </c>
      <c r="C1862" s="5" t="s">
        <v>275</v>
      </c>
      <c r="D1862" s="6" t="n">
        <v>0.102519259713049</v>
      </c>
      <c r="E1862" s="6" t="n">
        <v>0.0139854021607924</v>
      </c>
      <c r="F1862" s="7" t="n">
        <v>2.29385061874688E-013</v>
      </c>
    </row>
    <row r="1863" customFormat="false" ht="15" hidden="false" customHeight="true" outlineLevel="0" collapsed="false">
      <c r="A1863" s="5" t="s">
        <v>74</v>
      </c>
      <c r="B1863" s="5" t="s">
        <v>86</v>
      </c>
      <c r="C1863" s="5" t="s">
        <v>276</v>
      </c>
      <c r="D1863" s="6" t="n">
        <v>0.107232131629459</v>
      </c>
      <c r="E1863" s="6" t="n">
        <v>0.014125243134613</v>
      </c>
      <c r="F1863" s="7" t="n">
        <v>3.16162975017904E-014</v>
      </c>
    </row>
    <row r="1864" customFormat="false" ht="15" hidden="false" customHeight="true" outlineLevel="0" collapsed="false">
      <c r="A1864" s="5" t="s">
        <v>74</v>
      </c>
      <c r="B1864" s="5" t="s">
        <v>86</v>
      </c>
      <c r="C1864" s="5" t="s">
        <v>277</v>
      </c>
      <c r="D1864" s="6" t="n">
        <v>0.104724810326086</v>
      </c>
      <c r="E1864" s="6" t="n">
        <v>0.0142716011519929</v>
      </c>
      <c r="F1864" s="7" t="n">
        <v>2.16831743893414E-013</v>
      </c>
    </row>
    <row r="1865" customFormat="false" ht="15" hidden="false" customHeight="true" outlineLevel="0" collapsed="false">
      <c r="A1865" s="5" t="s">
        <v>74</v>
      </c>
      <c r="B1865" s="5" t="s">
        <v>86</v>
      </c>
      <c r="C1865" s="5" t="s">
        <v>278</v>
      </c>
      <c r="D1865" s="6" t="n">
        <v>0.105717649878334</v>
      </c>
      <c r="E1865" s="6" t="n">
        <v>0.0143434343486925</v>
      </c>
      <c r="F1865" s="7" t="n">
        <v>1.70045550272201E-013</v>
      </c>
    </row>
    <row r="1866" customFormat="false" ht="15" hidden="false" customHeight="true" outlineLevel="0" collapsed="false">
      <c r="A1866" s="5" t="s">
        <v>74</v>
      </c>
      <c r="B1866" s="5" t="s">
        <v>86</v>
      </c>
      <c r="C1866" s="5" t="s">
        <v>769</v>
      </c>
      <c r="D1866" s="6" t="n">
        <v>0.10527502046343</v>
      </c>
      <c r="E1866" s="6" t="n">
        <v>0.0142897861759432</v>
      </c>
      <c r="F1866" s="7" t="n">
        <v>1.74312283559199E-013</v>
      </c>
    </row>
    <row r="1867" customFormat="false" ht="15" hidden="false" customHeight="true" outlineLevel="0" collapsed="false">
      <c r="A1867" s="5" t="s">
        <v>74</v>
      </c>
      <c r="B1867" s="5" t="s">
        <v>86</v>
      </c>
      <c r="C1867" s="5" t="s">
        <v>279</v>
      </c>
      <c r="D1867" s="6" t="n">
        <v>0.105064649124947</v>
      </c>
      <c r="E1867" s="6" t="n">
        <v>0.0143384927156694</v>
      </c>
      <c r="F1867" s="7" t="n">
        <v>2.3456573721053E-013</v>
      </c>
    </row>
    <row r="1868" customFormat="false" ht="15" hidden="false" customHeight="true" outlineLevel="0" collapsed="false">
      <c r="A1868" s="5" t="s">
        <v>74</v>
      </c>
      <c r="B1868" s="5" t="s">
        <v>86</v>
      </c>
      <c r="C1868" s="5" t="s">
        <v>280</v>
      </c>
      <c r="D1868" s="6" t="n">
        <v>0.105058980486896</v>
      </c>
      <c r="E1868" s="6" t="n">
        <v>0.0143028397636918</v>
      </c>
      <c r="F1868" s="7" t="n">
        <v>2.05262517988688E-013</v>
      </c>
    </row>
    <row r="1869" customFormat="false" ht="15" hidden="false" customHeight="true" outlineLevel="0" collapsed="false">
      <c r="A1869" s="5" t="s">
        <v>74</v>
      </c>
      <c r="B1869" s="5" t="s">
        <v>86</v>
      </c>
      <c r="C1869" s="5" t="s">
        <v>281</v>
      </c>
      <c r="D1869" s="6" t="n">
        <v>0.105068873504499</v>
      </c>
      <c r="E1869" s="6" t="n">
        <v>0.0143257015000447</v>
      </c>
      <c r="F1869" s="7" t="n">
        <v>2.22897156940058E-013</v>
      </c>
    </row>
    <row r="1870" customFormat="false" ht="15" hidden="false" customHeight="true" outlineLevel="0" collapsed="false">
      <c r="A1870" s="5" t="s">
        <v>74</v>
      </c>
      <c r="B1870" s="5" t="s">
        <v>86</v>
      </c>
      <c r="C1870" s="5" t="s">
        <v>282</v>
      </c>
      <c r="D1870" s="6" t="n">
        <v>0.10438057460263</v>
      </c>
      <c r="E1870" s="6" t="n">
        <v>0.0142801494352277</v>
      </c>
      <c r="F1870" s="7" t="n">
        <v>2.68163085078817E-013</v>
      </c>
    </row>
    <row r="1871" customFormat="false" ht="15" hidden="false" customHeight="true" outlineLevel="0" collapsed="false">
      <c r="A1871" s="5" t="s">
        <v>74</v>
      </c>
      <c r="B1871" s="5" t="s">
        <v>86</v>
      </c>
      <c r="C1871" s="5" t="s">
        <v>770</v>
      </c>
      <c r="D1871" s="6" t="n">
        <v>0.105152850637849</v>
      </c>
      <c r="E1871" s="6" t="n">
        <v>0.0142933361924123</v>
      </c>
      <c r="F1871" s="7" t="n">
        <v>1.88407280935518E-013</v>
      </c>
    </row>
    <row r="1872" customFormat="false" ht="15" hidden="false" customHeight="true" outlineLevel="0" collapsed="false">
      <c r="A1872" s="5" t="s">
        <v>74</v>
      </c>
      <c r="B1872" s="5" t="s">
        <v>86</v>
      </c>
      <c r="C1872" s="5" t="s">
        <v>283</v>
      </c>
      <c r="D1872" s="6" t="n">
        <v>0.105285762236399</v>
      </c>
      <c r="E1872" s="6" t="n">
        <v>0.0143145221233452</v>
      </c>
      <c r="F1872" s="7" t="n">
        <v>1.90682430345585E-013</v>
      </c>
    </row>
    <row r="1873" customFormat="false" ht="15" hidden="false" customHeight="true" outlineLevel="0" collapsed="false">
      <c r="A1873" s="5" t="s">
        <v>74</v>
      </c>
      <c r="B1873" s="5" t="s">
        <v>86</v>
      </c>
      <c r="C1873" s="5" t="s">
        <v>284</v>
      </c>
      <c r="D1873" s="6" t="n">
        <v>0.104107422971604</v>
      </c>
      <c r="E1873" s="6" t="n">
        <v>0.0141745113065705</v>
      </c>
      <c r="F1873" s="7" t="n">
        <v>2.06233105134496E-013</v>
      </c>
    </row>
    <row r="1874" customFormat="false" ht="15" hidden="false" customHeight="true" outlineLevel="0" collapsed="false">
      <c r="A1874" s="5" t="s">
        <v>74</v>
      </c>
      <c r="B1874" s="5" t="s">
        <v>86</v>
      </c>
      <c r="C1874" s="5" t="s">
        <v>285</v>
      </c>
      <c r="D1874" s="6" t="n">
        <v>0.106769867968857</v>
      </c>
      <c r="E1874" s="6" t="n">
        <v>0.0142029724965119</v>
      </c>
      <c r="F1874" s="7" t="n">
        <v>5.58629563681254E-014</v>
      </c>
    </row>
    <row r="1875" customFormat="false" ht="15" hidden="false" customHeight="true" outlineLevel="0" collapsed="false">
      <c r="A1875" s="5" t="s">
        <v>74</v>
      </c>
      <c r="B1875" s="5" t="s">
        <v>86</v>
      </c>
      <c r="C1875" s="5" t="s">
        <v>286</v>
      </c>
      <c r="D1875" s="6" t="n">
        <v>0.107848769290629</v>
      </c>
      <c r="E1875" s="6" t="n">
        <v>0.0140954062283765</v>
      </c>
      <c r="F1875" s="7" t="n">
        <v>1.98893068052933E-014</v>
      </c>
    </row>
    <row r="1876" customFormat="false" ht="15" hidden="false" customHeight="true" outlineLevel="0" collapsed="false">
      <c r="A1876" s="5" t="s">
        <v>74</v>
      </c>
      <c r="B1876" s="5" t="s">
        <v>86</v>
      </c>
      <c r="C1876" s="5" t="s">
        <v>287</v>
      </c>
      <c r="D1876" s="6" t="n">
        <v>0.1060905970547</v>
      </c>
      <c r="E1876" s="6" t="n">
        <v>0.0142747079826115</v>
      </c>
      <c r="F1876" s="7" t="n">
        <v>1.06912999495011E-013</v>
      </c>
    </row>
    <row r="1877" customFormat="false" ht="15" hidden="false" customHeight="true" outlineLevel="0" collapsed="false">
      <c r="A1877" s="5" t="s">
        <v>74</v>
      </c>
      <c r="B1877" s="5" t="s">
        <v>86</v>
      </c>
      <c r="C1877" s="5" t="s">
        <v>288</v>
      </c>
      <c r="D1877" s="6" t="n">
        <v>0.103341751384653</v>
      </c>
      <c r="E1877" s="6" t="n">
        <v>0.0141116023076544</v>
      </c>
      <c r="F1877" s="7" t="n">
        <v>2.42169330017349E-013</v>
      </c>
    </row>
    <row r="1878" customFormat="false" ht="15" hidden="false" customHeight="true" outlineLevel="0" collapsed="false">
      <c r="A1878" s="5" t="s">
        <v>74</v>
      </c>
      <c r="B1878" s="5" t="s">
        <v>86</v>
      </c>
      <c r="C1878" s="5" t="s">
        <v>771</v>
      </c>
      <c r="D1878" s="6" t="n">
        <v>0.106289258607319</v>
      </c>
      <c r="E1878" s="6" t="n">
        <v>0.0142567174884907</v>
      </c>
      <c r="F1878" s="7" t="n">
        <v>8.96086008069915E-014</v>
      </c>
    </row>
    <row r="1879" customFormat="false" ht="15" hidden="false" customHeight="true" outlineLevel="0" collapsed="false">
      <c r="A1879" s="5" t="s">
        <v>74</v>
      </c>
      <c r="B1879" s="5" t="s">
        <v>86</v>
      </c>
      <c r="C1879" s="5" t="s">
        <v>289</v>
      </c>
      <c r="D1879" s="6" t="n">
        <v>0.104050768690192</v>
      </c>
      <c r="E1879" s="6" t="n">
        <v>0.0145429598656476</v>
      </c>
      <c r="F1879" s="7" t="n">
        <v>8.38454412886403E-013</v>
      </c>
    </row>
    <row r="1880" customFormat="false" ht="15" hidden="false" customHeight="true" outlineLevel="0" collapsed="false">
      <c r="A1880" s="5" t="s">
        <v>74</v>
      </c>
      <c r="B1880" s="5" t="s">
        <v>86</v>
      </c>
      <c r="C1880" s="5" t="s">
        <v>290</v>
      </c>
      <c r="D1880" s="6" t="n">
        <v>0.104216040191061</v>
      </c>
      <c r="E1880" s="6" t="n">
        <v>0.0141363010663949</v>
      </c>
      <c r="F1880" s="7" t="n">
        <v>1.67799209283947E-013</v>
      </c>
    </row>
    <row r="1881" customFormat="false" ht="15" hidden="false" customHeight="true" outlineLevel="0" collapsed="false">
      <c r="A1881" s="5" t="s">
        <v>74</v>
      </c>
      <c r="B1881" s="5" t="s">
        <v>86</v>
      </c>
      <c r="C1881" s="5" t="s">
        <v>291</v>
      </c>
      <c r="D1881" s="6" t="n">
        <v>0.10657716244221</v>
      </c>
      <c r="E1881" s="6" t="n">
        <v>0.0143161030366141</v>
      </c>
      <c r="F1881" s="7" t="n">
        <v>9.72642287084688E-014</v>
      </c>
    </row>
    <row r="1882" customFormat="false" ht="15" hidden="false" customHeight="true" outlineLevel="0" collapsed="false">
      <c r="A1882" s="5" t="s">
        <v>74</v>
      </c>
      <c r="B1882" s="5" t="s">
        <v>86</v>
      </c>
      <c r="C1882" s="5" t="s">
        <v>292</v>
      </c>
      <c r="D1882" s="6" t="n">
        <v>0.106262592956419</v>
      </c>
      <c r="E1882" s="6" t="n">
        <v>0.0142387160735705</v>
      </c>
      <c r="F1882" s="7" t="n">
        <v>8.46169798250853E-014</v>
      </c>
    </row>
    <row r="1883" customFormat="false" ht="15" hidden="false" customHeight="true" outlineLevel="0" collapsed="false">
      <c r="A1883" s="5" t="s">
        <v>74</v>
      </c>
      <c r="B1883" s="5" t="s">
        <v>86</v>
      </c>
      <c r="C1883" s="5" t="s">
        <v>186</v>
      </c>
      <c r="D1883" s="6" t="n">
        <v>0.105585390290459</v>
      </c>
      <c r="E1883" s="6" t="n">
        <v>0.0151758541558144</v>
      </c>
      <c r="F1883" s="7" t="n">
        <v>3.46463563217848E-012</v>
      </c>
    </row>
    <row r="1884" customFormat="false" ht="15" hidden="false" customHeight="true" outlineLevel="0" collapsed="false">
      <c r="A1884" s="5" t="s">
        <v>74</v>
      </c>
      <c r="B1884" s="5" t="s">
        <v>86</v>
      </c>
      <c r="C1884" s="5" t="s">
        <v>293</v>
      </c>
      <c r="D1884" s="6" t="n">
        <v>0.104170610592159</v>
      </c>
      <c r="E1884" s="6" t="n">
        <v>0.0142695227548818</v>
      </c>
      <c r="F1884" s="7" t="n">
        <v>2.8730428250639E-013</v>
      </c>
    </row>
    <row r="1885" customFormat="false" ht="15" hidden="false" customHeight="true" outlineLevel="0" collapsed="false">
      <c r="A1885" s="5" t="s">
        <v>74</v>
      </c>
      <c r="B1885" s="5" t="s">
        <v>86</v>
      </c>
      <c r="C1885" s="5" t="s">
        <v>294</v>
      </c>
      <c r="D1885" s="6" t="n">
        <v>0.106168643072615</v>
      </c>
      <c r="E1885" s="6" t="n">
        <v>0.0142595436989289</v>
      </c>
      <c r="F1885" s="7" t="n">
        <v>9.66184484184211E-014</v>
      </c>
    </row>
    <row r="1886" customFormat="false" ht="15" hidden="false" customHeight="true" outlineLevel="0" collapsed="false">
      <c r="A1886" s="5" t="s">
        <v>74</v>
      </c>
      <c r="B1886" s="5" t="s">
        <v>86</v>
      </c>
      <c r="C1886" s="5" t="s">
        <v>295</v>
      </c>
      <c r="D1886" s="6" t="n">
        <v>0.106383444197551</v>
      </c>
      <c r="E1886" s="6" t="n">
        <v>0.0142800052628196</v>
      </c>
      <c r="F1886" s="7" t="n">
        <v>9.34688877842899E-014</v>
      </c>
    </row>
    <row r="1887" customFormat="false" ht="15" hidden="false" customHeight="true" outlineLevel="0" collapsed="false">
      <c r="A1887" s="5" t="s">
        <v>74</v>
      </c>
      <c r="B1887" s="5" t="s">
        <v>86</v>
      </c>
      <c r="C1887" s="5" t="s">
        <v>296</v>
      </c>
      <c r="D1887" s="6" t="n">
        <v>0.105376984602851</v>
      </c>
      <c r="E1887" s="6" t="n">
        <v>0.0143399850610729</v>
      </c>
      <c r="F1887" s="7" t="n">
        <v>2.00484834457226E-013</v>
      </c>
    </row>
    <row r="1888" customFormat="false" ht="15" hidden="false" customHeight="true" outlineLevel="0" collapsed="false">
      <c r="A1888" s="5" t="s">
        <v>74</v>
      </c>
      <c r="B1888" s="5" t="s">
        <v>86</v>
      </c>
      <c r="C1888" s="5" t="s">
        <v>297</v>
      </c>
      <c r="D1888" s="6" t="n">
        <v>0.104556755186388</v>
      </c>
      <c r="E1888" s="6" t="n">
        <v>0.0142856121466471</v>
      </c>
      <c r="F1888" s="7" t="n">
        <v>2.49778708702529E-013</v>
      </c>
    </row>
    <row r="1889" customFormat="false" ht="15" hidden="false" customHeight="true" outlineLevel="0" collapsed="false">
      <c r="A1889" s="5" t="s">
        <v>74</v>
      </c>
      <c r="B1889" s="5" t="s">
        <v>86</v>
      </c>
      <c r="C1889" s="5" t="s">
        <v>298</v>
      </c>
      <c r="D1889" s="6" t="n">
        <v>0.105447571461184</v>
      </c>
      <c r="E1889" s="6" t="n">
        <v>0.0143164466819235</v>
      </c>
      <c r="F1889" s="7" t="n">
        <v>1.76504142117082E-013</v>
      </c>
    </row>
    <row r="1890" customFormat="false" ht="15" hidden="false" customHeight="true" outlineLevel="0" collapsed="false">
      <c r="A1890" s="5" t="s">
        <v>74</v>
      </c>
      <c r="B1890" s="5" t="s">
        <v>86</v>
      </c>
      <c r="C1890" s="5" t="s">
        <v>299</v>
      </c>
      <c r="D1890" s="6" t="n">
        <v>0.106271061128189</v>
      </c>
      <c r="E1890" s="6" t="n">
        <v>0.0143511782534735</v>
      </c>
      <c r="F1890" s="7" t="n">
        <v>1.31110109576593E-013</v>
      </c>
    </row>
    <row r="1891" customFormat="false" ht="15" hidden="false" customHeight="true" outlineLevel="0" collapsed="false">
      <c r="A1891" s="5" t="s">
        <v>74</v>
      </c>
      <c r="B1891" s="5" t="s">
        <v>86</v>
      </c>
      <c r="C1891" s="5" t="s">
        <v>300</v>
      </c>
      <c r="D1891" s="6" t="n">
        <v>0.105170318393406</v>
      </c>
      <c r="E1891" s="6" t="n">
        <v>0.0143288911947379</v>
      </c>
      <c r="F1891" s="7" t="n">
        <v>2.1401113015555E-013</v>
      </c>
    </row>
    <row r="1892" customFormat="false" ht="15" hidden="false" customHeight="true" outlineLevel="0" collapsed="false">
      <c r="A1892" s="5" t="s">
        <v>74</v>
      </c>
      <c r="B1892" s="5" t="s">
        <v>86</v>
      </c>
      <c r="C1892" s="5" t="s">
        <v>301</v>
      </c>
      <c r="D1892" s="6" t="n">
        <v>0.105904612354093</v>
      </c>
      <c r="E1892" s="6" t="n">
        <v>0.0142854833781688</v>
      </c>
      <c r="F1892" s="7" t="n">
        <v>1.23062233756092E-013</v>
      </c>
    </row>
    <row r="1893" customFormat="false" ht="15" hidden="false" customHeight="true" outlineLevel="0" collapsed="false">
      <c r="A1893" s="5" t="s">
        <v>74</v>
      </c>
      <c r="B1893" s="5" t="s">
        <v>86</v>
      </c>
      <c r="C1893" s="5" t="s">
        <v>772</v>
      </c>
      <c r="D1893" s="6" t="n">
        <v>0.105741332794688</v>
      </c>
      <c r="E1893" s="6" t="n">
        <v>0.0142998435634433</v>
      </c>
      <c r="F1893" s="7" t="n">
        <v>1.41856260066284E-013</v>
      </c>
    </row>
    <row r="1894" customFormat="false" ht="15" hidden="false" customHeight="true" outlineLevel="0" collapsed="false">
      <c r="A1894" s="5" t="s">
        <v>74</v>
      </c>
      <c r="B1894" s="5" t="s">
        <v>86</v>
      </c>
      <c r="C1894" s="5" t="s">
        <v>773</v>
      </c>
      <c r="D1894" s="6" t="n">
        <v>0.105023624211681</v>
      </c>
      <c r="E1894" s="6" t="n">
        <v>0.0142863995412748</v>
      </c>
      <c r="F1894" s="7" t="n">
        <v>1.96286735045043E-013</v>
      </c>
    </row>
    <row r="1895" customFormat="false" ht="15" hidden="false" customHeight="true" outlineLevel="0" collapsed="false">
      <c r="A1895" s="5" t="s">
        <v>74</v>
      </c>
      <c r="B1895" s="5" t="s">
        <v>86</v>
      </c>
      <c r="C1895" s="5" t="s">
        <v>302</v>
      </c>
      <c r="D1895" s="6" t="n">
        <v>0.10562933586982</v>
      </c>
      <c r="E1895" s="6" t="n">
        <v>0.0143246577852517</v>
      </c>
      <c r="F1895" s="7" t="n">
        <v>1.65643113558029E-013</v>
      </c>
    </row>
    <row r="1896" customFormat="false" ht="15" hidden="false" customHeight="true" outlineLevel="0" collapsed="false">
      <c r="A1896" s="5" t="s">
        <v>74</v>
      </c>
      <c r="B1896" s="5" t="s">
        <v>86</v>
      </c>
      <c r="C1896" s="5" t="s">
        <v>303</v>
      </c>
      <c r="D1896" s="6" t="n">
        <v>0.104269589622509</v>
      </c>
      <c r="E1896" s="6" t="n">
        <v>0.014429635138722</v>
      </c>
      <c r="F1896" s="7" t="n">
        <v>4.97162411937267E-013</v>
      </c>
    </row>
    <row r="1897" customFormat="false" ht="15" hidden="false" customHeight="true" outlineLevel="0" collapsed="false">
      <c r="A1897" s="5" t="s">
        <v>74</v>
      </c>
      <c r="B1897" s="5" t="s">
        <v>86</v>
      </c>
      <c r="C1897" s="5" t="s">
        <v>304</v>
      </c>
      <c r="D1897" s="6" t="n">
        <v>0.105566573274676</v>
      </c>
      <c r="E1897" s="6" t="n">
        <v>0.0143145397701712</v>
      </c>
      <c r="F1897" s="7" t="n">
        <v>1.64617378303624E-013</v>
      </c>
    </row>
    <row r="1898" customFormat="false" ht="15" hidden="false" customHeight="true" outlineLevel="0" collapsed="false">
      <c r="A1898" s="5" t="s">
        <v>74</v>
      </c>
      <c r="B1898" s="5" t="s">
        <v>86</v>
      </c>
      <c r="C1898" s="5" t="s">
        <v>305</v>
      </c>
      <c r="D1898" s="6" t="n">
        <v>0.105874365517775</v>
      </c>
      <c r="E1898" s="6" t="n">
        <v>0.0143004772961336</v>
      </c>
      <c r="F1898" s="7" t="n">
        <v>1.32586536435316E-013</v>
      </c>
    </row>
    <row r="1899" customFormat="false" ht="15" hidden="false" customHeight="true" outlineLevel="0" collapsed="false">
      <c r="A1899" s="5" t="s">
        <v>74</v>
      </c>
      <c r="B1899" s="5" t="s">
        <v>86</v>
      </c>
      <c r="C1899" s="5" t="s">
        <v>306</v>
      </c>
      <c r="D1899" s="6" t="n">
        <v>0.105322069371282</v>
      </c>
      <c r="E1899" s="6" t="n">
        <v>0.0142115464566719</v>
      </c>
      <c r="F1899" s="7" t="n">
        <v>1.25330724995948E-013</v>
      </c>
    </row>
    <row r="1900" customFormat="false" ht="15" hidden="false" customHeight="true" outlineLevel="0" collapsed="false">
      <c r="A1900" s="5" t="s">
        <v>88</v>
      </c>
      <c r="B1900" s="5" t="s">
        <v>86</v>
      </c>
      <c r="C1900" s="5" t="s">
        <v>307</v>
      </c>
      <c r="D1900" s="6" t="n">
        <v>0.180938421975128</v>
      </c>
      <c r="E1900" s="6" t="n">
        <v>0.0245200905756276</v>
      </c>
      <c r="F1900" s="7" t="n">
        <v>1.59254704711793E-013</v>
      </c>
    </row>
    <row r="1901" customFormat="false" ht="15" hidden="false" customHeight="true" outlineLevel="0" collapsed="false">
      <c r="A1901" s="5" t="s">
        <v>88</v>
      </c>
      <c r="B1901" s="5" t="s">
        <v>86</v>
      </c>
      <c r="C1901" s="5" t="s">
        <v>308</v>
      </c>
      <c r="D1901" s="6" t="n">
        <v>0.182122078148714</v>
      </c>
      <c r="E1901" s="6" t="n">
        <v>0.0245101923017598</v>
      </c>
      <c r="F1901" s="7" t="n">
        <v>1.08218167248834E-013</v>
      </c>
    </row>
    <row r="1902" customFormat="false" ht="15" hidden="false" customHeight="true" outlineLevel="0" collapsed="false">
      <c r="A1902" s="5" t="s">
        <v>88</v>
      </c>
      <c r="B1902" s="5" t="s">
        <v>86</v>
      </c>
      <c r="C1902" s="5" t="s">
        <v>309</v>
      </c>
      <c r="D1902" s="6" t="n">
        <v>0.181654748394283</v>
      </c>
      <c r="E1902" s="6" t="n">
        <v>0.0245251516132229</v>
      </c>
      <c r="F1902" s="7" t="n">
        <v>1.29309600608443E-013</v>
      </c>
    </row>
    <row r="1903" customFormat="false" ht="15" hidden="false" customHeight="true" outlineLevel="0" collapsed="false">
      <c r="A1903" s="5" t="s">
        <v>88</v>
      </c>
      <c r="B1903" s="5" t="s">
        <v>86</v>
      </c>
      <c r="C1903" s="5" t="s">
        <v>310</v>
      </c>
      <c r="D1903" s="6" t="n">
        <v>0.18022824088646</v>
      </c>
      <c r="E1903" s="6" t="n">
        <v>0.0245055471812833</v>
      </c>
      <c r="F1903" s="7" t="n">
        <v>1.91514698323613E-013</v>
      </c>
    </row>
    <row r="1904" customFormat="false" ht="15" hidden="false" customHeight="true" outlineLevel="0" collapsed="false">
      <c r="A1904" s="5" t="s">
        <v>88</v>
      </c>
      <c r="B1904" s="5" t="s">
        <v>86</v>
      </c>
      <c r="C1904" s="5" t="s">
        <v>311</v>
      </c>
      <c r="D1904" s="6" t="n">
        <v>0.179981754841296</v>
      </c>
      <c r="E1904" s="6" t="n">
        <v>0.0245275788217316</v>
      </c>
      <c r="F1904" s="7" t="n">
        <v>2.16916063441482E-013</v>
      </c>
    </row>
    <row r="1905" customFormat="false" ht="15" hidden="false" customHeight="true" outlineLevel="0" collapsed="false">
      <c r="A1905" s="5" t="s">
        <v>88</v>
      </c>
      <c r="B1905" s="5" t="s">
        <v>86</v>
      </c>
      <c r="C1905" s="5" t="s">
        <v>312</v>
      </c>
      <c r="D1905" s="6" t="n">
        <v>0.180319691167235</v>
      </c>
      <c r="E1905" s="6" t="n">
        <v>0.0244982972469843</v>
      </c>
      <c r="F1905" s="7" t="n">
        <v>1.83224075983149E-013</v>
      </c>
    </row>
    <row r="1906" customFormat="false" ht="15" hidden="false" customHeight="true" outlineLevel="0" collapsed="false">
      <c r="A1906" s="5" t="s">
        <v>88</v>
      </c>
      <c r="B1906" s="5" t="s">
        <v>86</v>
      </c>
      <c r="C1906" s="5" t="s">
        <v>313</v>
      </c>
      <c r="D1906" s="6" t="n">
        <v>0.180987611571395</v>
      </c>
      <c r="E1906" s="6" t="n">
        <v>0.0245218630263897</v>
      </c>
      <c r="F1906" s="7" t="n">
        <v>1.57503001801564E-013</v>
      </c>
    </row>
    <row r="1907" customFormat="false" ht="15" hidden="false" customHeight="true" outlineLevel="0" collapsed="false">
      <c r="A1907" s="5" t="s">
        <v>88</v>
      </c>
      <c r="B1907" s="5" t="s">
        <v>86</v>
      </c>
      <c r="C1907" s="5" t="s">
        <v>314</v>
      </c>
      <c r="D1907" s="6" t="n">
        <v>0.17775411426825</v>
      </c>
      <c r="E1907" s="6" t="n">
        <v>0.0246064664866205</v>
      </c>
      <c r="F1907" s="7" t="n">
        <v>5.0525554044308E-013</v>
      </c>
    </row>
    <row r="1908" customFormat="false" ht="15" hidden="false" customHeight="true" outlineLevel="0" collapsed="false">
      <c r="A1908" s="5" t="s">
        <v>88</v>
      </c>
      <c r="B1908" s="5" t="s">
        <v>86</v>
      </c>
      <c r="C1908" s="5" t="s">
        <v>774</v>
      </c>
      <c r="D1908" s="6" t="n">
        <v>0.180877174232529</v>
      </c>
      <c r="E1908" s="6" t="n">
        <v>0.024508027864472</v>
      </c>
      <c r="F1908" s="7" t="n">
        <v>1.57905369681429E-013</v>
      </c>
    </row>
    <row r="1909" customFormat="false" ht="15" hidden="false" customHeight="true" outlineLevel="0" collapsed="false">
      <c r="A1909" s="5" t="s">
        <v>88</v>
      </c>
      <c r="B1909" s="5" t="s">
        <v>86</v>
      </c>
      <c r="C1909" s="5" t="s">
        <v>315</v>
      </c>
      <c r="D1909" s="6" t="n">
        <v>0.182275295297697</v>
      </c>
      <c r="E1909" s="6" t="n">
        <v>0.0244760541315221</v>
      </c>
      <c r="F1909" s="7" t="n">
        <v>9.54239696069875E-014</v>
      </c>
    </row>
    <row r="1910" customFormat="false" ht="15" hidden="false" customHeight="true" outlineLevel="0" collapsed="false">
      <c r="A1910" s="5" t="s">
        <v>88</v>
      </c>
      <c r="B1910" s="5" t="s">
        <v>86</v>
      </c>
      <c r="C1910" s="5" t="s">
        <v>316</v>
      </c>
      <c r="D1910" s="6" t="n">
        <v>0.178997674358059</v>
      </c>
      <c r="E1910" s="6" t="n">
        <v>0.0244531924090384</v>
      </c>
      <c r="F1910" s="7" t="n">
        <v>2.4794783891138E-013</v>
      </c>
    </row>
    <row r="1911" customFormat="false" ht="15" hidden="false" customHeight="true" outlineLevel="0" collapsed="false">
      <c r="A1911" s="5" t="s">
        <v>88</v>
      </c>
      <c r="B1911" s="5" t="s">
        <v>86</v>
      </c>
      <c r="C1911" s="5" t="s">
        <v>317</v>
      </c>
      <c r="D1911" s="6" t="n">
        <v>0.179610544198095</v>
      </c>
      <c r="E1911" s="6" t="n">
        <v>0.0243912605594106</v>
      </c>
      <c r="F1911" s="7" t="n">
        <v>1.7884744890663E-013</v>
      </c>
    </row>
    <row r="1912" customFormat="false" ht="15" hidden="false" customHeight="true" outlineLevel="0" collapsed="false">
      <c r="A1912" s="5" t="s">
        <v>88</v>
      </c>
      <c r="B1912" s="5" t="s">
        <v>86</v>
      </c>
      <c r="C1912" s="5" t="s">
        <v>318</v>
      </c>
      <c r="D1912" s="6" t="n">
        <v>0.180730212800227</v>
      </c>
      <c r="E1912" s="6" t="n">
        <v>0.02453279029153</v>
      </c>
      <c r="F1912" s="7" t="n">
        <v>1.74662735321496E-013</v>
      </c>
    </row>
    <row r="1913" customFormat="false" ht="15" hidden="false" customHeight="true" outlineLevel="0" collapsed="false">
      <c r="A1913" s="5" t="s">
        <v>88</v>
      </c>
      <c r="B1913" s="5" t="s">
        <v>86</v>
      </c>
      <c r="C1913" s="5" t="s">
        <v>319</v>
      </c>
      <c r="D1913" s="6" t="n">
        <v>0.181804791489731</v>
      </c>
      <c r="E1913" s="6" t="n">
        <v>0.0245096157209621</v>
      </c>
      <c r="F1913" s="7" t="n">
        <v>1.19178444742021E-013</v>
      </c>
    </row>
    <row r="1914" customFormat="false" ht="15" hidden="false" customHeight="true" outlineLevel="0" collapsed="false">
      <c r="A1914" s="5" t="s">
        <v>88</v>
      </c>
      <c r="B1914" s="5" t="s">
        <v>86</v>
      </c>
      <c r="C1914" s="5" t="s">
        <v>320</v>
      </c>
      <c r="D1914" s="6" t="n">
        <v>0.181651441519783</v>
      </c>
      <c r="E1914" s="6" t="n">
        <v>0.0245323795549364</v>
      </c>
      <c r="F1914" s="7" t="n">
        <v>1.31587432358637E-013</v>
      </c>
    </row>
    <row r="1915" customFormat="false" ht="15" hidden="false" customHeight="true" outlineLevel="0" collapsed="false">
      <c r="A1915" s="5" t="s">
        <v>88</v>
      </c>
      <c r="B1915" s="5" t="s">
        <v>86</v>
      </c>
      <c r="C1915" s="5" t="s">
        <v>321</v>
      </c>
      <c r="D1915" s="6" t="n">
        <v>0.181534687851309</v>
      </c>
      <c r="E1915" s="6" t="n">
        <v>0.02452342988184</v>
      </c>
      <c r="F1915" s="7" t="n">
        <v>1.33644269821255E-013</v>
      </c>
    </row>
    <row r="1916" customFormat="false" ht="15" hidden="false" customHeight="true" outlineLevel="0" collapsed="false">
      <c r="A1916" s="5" t="s">
        <v>88</v>
      </c>
      <c r="B1916" s="5" t="s">
        <v>86</v>
      </c>
      <c r="C1916" s="5" t="s">
        <v>322</v>
      </c>
      <c r="D1916" s="6" t="n">
        <v>0.181617215067321</v>
      </c>
      <c r="E1916" s="6" t="n">
        <v>0.0245449517336966</v>
      </c>
      <c r="F1916" s="7" t="n">
        <v>1.36830610503207E-013</v>
      </c>
    </row>
    <row r="1917" customFormat="false" ht="15" hidden="false" customHeight="true" outlineLevel="0" collapsed="false">
      <c r="A1917" s="5" t="s">
        <v>88</v>
      </c>
      <c r="B1917" s="5" t="s">
        <v>86</v>
      </c>
      <c r="C1917" s="5" t="s">
        <v>323</v>
      </c>
      <c r="D1917" s="6" t="n">
        <v>0.181600479749379</v>
      </c>
      <c r="E1917" s="6" t="n">
        <v>0.0245195509709939</v>
      </c>
      <c r="F1917" s="7" t="n">
        <v>1.29818802774184E-013</v>
      </c>
    </row>
    <row r="1918" customFormat="false" ht="15" hidden="false" customHeight="true" outlineLevel="0" collapsed="false">
      <c r="A1918" s="5" t="s">
        <v>88</v>
      </c>
      <c r="B1918" s="5" t="s">
        <v>86</v>
      </c>
      <c r="C1918" s="5" t="s">
        <v>324</v>
      </c>
      <c r="D1918" s="6" t="n">
        <v>0.179421399786859</v>
      </c>
      <c r="E1918" s="6" t="n">
        <v>0.0244242016906566</v>
      </c>
      <c r="F1918" s="7" t="n">
        <v>2.04150473683596E-013</v>
      </c>
    </row>
    <row r="1919" customFormat="false" ht="15" hidden="false" customHeight="true" outlineLevel="0" collapsed="false">
      <c r="A1919" s="5" t="s">
        <v>88</v>
      </c>
      <c r="B1919" s="5" t="s">
        <v>86</v>
      </c>
      <c r="C1919" s="5" t="s">
        <v>325</v>
      </c>
      <c r="D1919" s="6" t="n">
        <v>0.182584083955143</v>
      </c>
      <c r="E1919" s="6" t="n">
        <v>0.0244463076616059</v>
      </c>
      <c r="F1919" s="7" t="n">
        <v>8.09419778497995E-014</v>
      </c>
    </row>
    <row r="1920" customFormat="false" ht="15" hidden="false" customHeight="true" outlineLevel="0" collapsed="false">
      <c r="A1920" s="5" t="s">
        <v>88</v>
      </c>
      <c r="B1920" s="5" t="s">
        <v>86</v>
      </c>
      <c r="C1920" s="5" t="s">
        <v>326</v>
      </c>
      <c r="D1920" s="6" t="n">
        <v>0.180042548143177</v>
      </c>
      <c r="E1920" s="6" t="n">
        <v>0.0244910507792377</v>
      </c>
      <c r="F1920" s="7" t="n">
        <v>1.9619917339514E-013</v>
      </c>
    </row>
    <row r="1921" customFormat="false" ht="15" hidden="false" customHeight="true" outlineLevel="0" collapsed="false">
      <c r="A1921" s="5" t="s">
        <v>88</v>
      </c>
      <c r="B1921" s="5" t="s">
        <v>86</v>
      </c>
      <c r="C1921" s="5" t="s">
        <v>327</v>
      </c>
      <c r="D1921" s="6" t="n">
        <v>0.182017990632164</v>
      </c>
      <c r="E1921" s="6" t="n">
        <v>0.0245177751725569</v>
      </c>
      <c r="F1921" s="7" t="n">
        <v>1.13704232939107E-013</v>
      </c>
    </row>
    <row r="1922" customFormat="false" ht="15" hidden="false" customHeight="true" outlineLevel="0" collapsed="false">
      <c r="A1922" s="5" t="s">
        <v>88</v>
      </c>
      <c r="B1922" s="5" t="s">
        <v>86</v>
      </c>
      <c r="C1922" s="5" t="s">
        <v>328</v>
      </c>
      <c r="D1922" s="6" t="n">
        <v>0.179457397922029</v>
      </c>
      <c r="E1922" s="6" t="n">
        <v>0.0244114602282023</v>
      </c>
      <c r="F1922" s="7" t="n">
        <v>1.96202262968519E-013</v>
      </c>
    </row>
    <row r="1923" customFormat="false" ht="15" hidden="false" customHeight="true" outlineLevel="0" collapsed="false">
      <c r="A1923" s="5" t="s">
        <v>88</v>
      </c>
      <c r="B1923" s="5" t="s">
        <v>86</v>
      </c>
      <c r="C1923" s="5" t="s">
        <v>329</v>
      </c>
      <c r="D1923" s="6" t="n">
        <v>0.18111064931421</v>
      </c>
      <c r="E1923" s="6" t="n">
        <v>0.0245260811169495</v>
      </c>
      <c r="F1923" s="7" t="n">
        <v>1.53130395183321E-013</v>
      </c>
    </row>
    <row r="1924" customFormat="false" ht="15" hidden="false" customHeight="true" outlineLevel="0" collapsed="false">
      <c r="A1924" s="5" t="s">
        <v>88</v>
      </c>
      <c r="B1924" s="5" t="s">
        <v>86</v>
      </c>
      <c r="C1924" s="5" t="s">
        <v>330</v>
      </c>
      <c r="D1924" s="6" t="n">
        <v>0.181203614469355</v>
      </c>
      <c r="E1924" s="6" t="n">
        <v>0.0245358523828478</v>
      </c>
      <c r="F1924" s="7" t="n">
        <v>1.52157379556527E-013</v>
      </c>
    </row>
    <row r="1925" customFormat="false" ht="15" hidden="false" customHeight="true" outlineLevel="0" collapsed="false">
      <c r="A1925" s="5" t="s">
        <v>88</v>
      </c>
      <c r="B1925" s="5" t="s">
        <v>86</v>
      </c>
      <c r="C1925" s="5" t="s">
        <v>331</v>
      </c>
      <c r="D1925" s="6" t="n">
        <v>0.181826121195024</v>
      </c>
      <c r="E1925" s="6" t="n">
        <v>0.0245109224466737</v>
      </c>
      <c r="F1925" s="7" t="n">
        <v>1.1875212097018E-013</v>
      </c>
    </row>
    <row r="1926" customFormat="false" ht="15" hidden="false" customHeight="true" outlineLevel="0" collapsed="false">
      <c r="A1926" s="5" t="s">
        <v>88</v>
      </c>
      <c r="B1926" s="5" t="s">
        <v>86</v>
      </c>
      <c r="C1926" s="5" t="s">
        <v>332</v>
      </c>
      <c r="D1926" s="6" t="n">
        <v>0.180535146980842</v>
      </c>
      <c r="E1926" s="6" t="n">
        <v>0.0245465774473549</v>
      </c>
      <c r="F1926" s="7" t="n">
        <v>1.91214411666064E-013</v>
      </c>
    </row>
    <row r="1927" customFormat="false" ht="15" hidden="false" customHeight="true" outlineLevel="0" collapsed="false">
      <c r="A1927" s="5" t="s">
        <v>88</v>
      </c>
      <c r="B1927" s="5" t="s">
        <v>86</v>
      </c>
      <c r="C1927" s="5" t="s">
        <v>333</v>
      </c>
      <c r="D1927" s="6" t="n">
        <v>0.181380302504836</v>
      </c>
      <c r="E1927" s="6" t="n">
        <v>0.0245230793394869</v>
      </c>
      <c r="F1927" s="7" t="n">
        <v>1.40020672779439E-013</v>
      </c>
    </row>
    <row r="1928" customFormat="false" ht="15" hidden="false" customHeight="true" outlineLevel="0" collapsed="false">
      <c r="A1928" s="5" t="s">
        <v>88</v>
      </c>
      <c r="B1928" s="5" t="s">
        <v>86</v>
      </c>
      <c r="C1928" s="5" t="s">
        <v>334</v>
      </c>
      <c r="D1928" s="6" t="n">
        <v>0.181564778487864</v>
      </c>
      <c r="E1928" s="6" t="n">
        <v>0.0245283702842761</v>
      </c>
      <c r="F1928" s="7" t="n">
        <v>1.33910525602622E-013</v>
      </c>
    </row>
    <row r="1929" customFormat="false" ht="15" hidden="false" customHeight="true" outlineLevel="0" collapsed="false">
      <c r="A1929" s="5" t="s">
        <v>88</v>
      </c>
      <c r="B1929" s="5" t="s">
        <v>86</v>
      </c>
      <c r="C1929" s="5" t="s">
        <v>335</v>
      </c>
      <c r="D1929" s="6" t="n">
        <v>0.181160672681375</v>
      </c>
      <c r="E1929" s="6" t="n">
        <v>0.0245269926490806</v>
      </c>
      <c r="F1929" s="7" t="n">
        <v>1.51112288710477E-013</v>
      </c>
    </row>
    <row r="1930" customFormat="false" ht="15" hidden="false" customHeight="true" outlineLevel="0" collapsed="false">
      <c r="A1930" s="5" t="s">
        <v>88</v>
      </c>
      <c r="B1930" s="5" t="s">
        <v>86</v>
      </c>
      <c r="C1930" s="5" t="s">
        <v>336</v>
      </c>
      <c r="D1930" s="6" t="n">
        <v>0.180738689665169</v>
      </c>
      <c r="E1930" s="6" t="n">
        <v>0.0244994574969021</v>
      </c>
      <c r="F1930" s="7" t="n">
        <v>1.6158909963891E-013</v>
      </c>
    </row>
    <row r="1931" customFormat="false" ht="15" hidden="false" customHeight="true" outlineLevel="0" collapsed="false">
      <c r="A1931" s="5" t="s">
        <v>88</v>
      </c>
      <c r="B1931" s="5" t="s">
        <v>86</v>
      </c>
      <c r="C1931" s="5" t="s">
        <v>337</v>
      </c>
      <c r="D1931" s="6" t="n">
        <v>0.181434995640796</v>
      </c>
      <c r="E1931" s="6" t="n">
        <v>0.0245340502332232</v>
      </c>
      <c r="F1931" s="7" t="n">
        <v>1.41161494439782E-013</v>
      </c>
    </row>
    <row r="1932" customFormat="false" ht="15" hidden="false" customHeight="true" outlineLevel="0" collapsed="false">
      <c r="A1932" s="5" t="s">
        <v>88</v>
      </c>
      <c r="B1932" s="5" t="s">
        <v>86</v>
      </c>
      <c r="C1932" s="5" t="s">
        <v>338</v>
      </c>
      <c r="D1932" s="6" t="n">
        <v>0.180796602209883</v>
      </c>
      <c r="E1932" s="6" t="n">
        <v>0.0245102906875364</v>
      </c>
      <c r="F1932" s="7" t="n">
        <v>1.62682033373795E-013</v>
      </c>
    </row>
    <row r="1933" customFormat="false" ht="15" hidden="false" customHeight="true" outlineLevel="0" collapsed="false">
      <c r="A1933" s="5" t="s">
        <v>88</v>
      </c>
      <c r="B1933" s="5" t="s">
        <v>86</v>
      </c>
      <c r="C1933" s="5" t="s">
        <v>339</v>
      </c>
      <c r="D1933" s="6" t="n">
        <v>0.181851158605061</v>
      </c>
      <c r="E1933" s="6" t="n">
        <v>0.0245168827979173</v>
      </c>
      <c r="F1933" s="7" t="n">
        <v>1.19455333771645E-013</v>
      </c>
    </row>
    <row r="1934" customFormat="false" ht="15" hidden="false" customHeight="true" outlineLevel="0" collapsed="false">
      <c r="A1934" s="5" t="s">
        <v>88</v>
      </c>
      <c r="B1934" s="5" t="s">
        <v>86</v>
      </c>
      <c r="C1934" s="5" t="s">
        <v>340</v>
      </c>
      <c r="D1934" s="6" t="n">
        <v>0.181154508771115</v>
      </c>
      <c r="E1934" s="6" t="n">
        <v>0.0245265069228968</v>
      </c>
      <c r="F1934" s="7" t="n">
        <v>1.51231650548264E-013</v>
      </c>
    </row>
    <row r="1935" customFormat="false" ht="15" hidden="false" customHeight="true" outlineLevel="0" collapsed="false">
      <c r="A1935" s="5" t="s">
        <v>88</v>
      </c>
      <c r="B1935" s="5" t="s">
        <v>86</v>
      </c>
      <c r="C1935" s="5" t="s">
        <v>341</v>
      </c>
      <c r="D1935" s="6" t="n">
        <v>0.181194157587002</v>
      </c>
      <c r="E1935" s="6" t="n">
        <v>0.024543357806172</v>
      </c>
      <c r="F1935" s="7" t="n">
        <v>1.55210551558985E-013</v>
      </c>
    </row>
    <row r="1936" customFormat="false" ht="15" hidden="false" customHeight="true" outlineLevel="0" collapsed="false">
      <c r="A1936" s="5" t="s">
        <v>88</v>
      </c>
      <c r="B1936" s="5" t="s">
        <v>86</v>
      </c>
      <c r="C1936" s="5" t="s">
        <v>342</v>
      </c>
      <c r="D1936" s="6" t="n">
        <v>0.182293985657219</v>
      </c>
      <c r="E1936" s="6" t="n">
        <v>0.0244677655581093</v>
      </c>
      <c r="F1936" s="7" t="n">
        <v>9.30765348299632E-014</v>
      </c>
    </row>
    <row r="1937" customFormat="false" ht="15" hidden="false" customHeight="true" outlineLevel="0" collapsed="false">
      <c r="A1937" s="5" t="s">
        <v>88</v>
      </c>
      <c r="B1937" s="5" t="s">
        <v>86</v>
      </c>
      <c r="C1937" s="5" t="s">
        <v>343</v>
      </c>
      <c r="D1937" s="6" t="n">
        <v>0.181429472688083</v>
      </c>
      <c r="E1937" s="6" t="n">
        <v>0.0245288815683716</v>
      </c>
      <c r="F1937" s="7" t="n">
        <v>1.39752163561309E-013</v>
      </c>
    </row>
    <row r="1938" customFormat="false" ht="15" hidden="false" customHeight="true" outlineLevel="0" collapsed="false">
      <c r="A1938" s="5" t="s">
        <v>88</v>
      </c>
      <c r="B1938" s="5" t="s">
        <v>86</v>
      </c>
      <c r="C1938" s="5" t="s">
        <v>344</v>
      </c>
      <c r="D1938" s="6" t="n">
        <v>0.179219590117115</v>
      </c>
      <c r="E1938" s="6" t="n">
        <v>0.0244756426046945</v>
      </c>
      <c r="F1938" s="7" t="n">
        <v>2.43638274066213E-013</v>
      </c>
    </row>
    <row r="1939" customFormat="false" ht="15" hidden="false" customHeight="true" outlineLevel="0" collapsed="false">
      <c r="A1939" s="5" t="s">
        <v>88</v>
      </c>
      <c r="B1939" s="5" t="s">
        <v>86</v>
      </c>
      <c r="C1939" s="5" t="s">
        <v>345</v>
      </c>
      <c r="D1939" s="6" t="n">
        <v>0.182001598316063</v>
      </c>
      <c r="E1939" s="6" t="n">
        <v>0.0244927744573866</v>
      </c>
      <c r="F1939" s="7" t="n">
        <v>1.07919834136505E-013</v>
      </c>
    </row>
    <row r="1940" customFormat="false" ht="15" hidden="false" customHeight="true" outlineLevel="0" collapsed="false">
      <c r="A1940" s="5" t="s">
        <v>88</v>
      </c>
      <c r="B1940" s="5" t="s">
        <v>86</v>
      </c>
      <c r="C1940" s="5" t="s">
        <v>346</v>
      </c>
      <c r="D1940" s="6" t="n">
        <v>0.180968634855951</v>
      </c>
      <c r="E1940" s="6" t="n">
        <v>0.0245284047228198</v>
      </c>
      <c r="F1940" s="7" t="n">
        <v>1.60780190314267E-013</v>
      </c>
    </row>
    <row r="1941" customFormat="false" ht="15" hidden="false" customHeight="true" outlineLevel="0" collapsed="false">
      <c r="A1941" s="5" t="s">
        <v>88</v>
      </c>
      <c r="B1941" s="5" t="s">
        <v>86</v>
      </c>
      <c r="C1941" s="5" t="s">
        <v>775</v>
      </c>
      <c r="D1941" s="6" t="n">
        <v>0.182029979035948</v>
      </c>
      <c r="E1941" s="6" t="n">
        <v>0.024479878997833</v>
      </c>
      <c r="F1941" s="7" t="n">
        <v>1.03856884337745E-013</v>
      </c>
    </row>
    <row r="1942" customFormat="false" ht="15" hidden="false" customHeight="true" outlineLevel="0" collapsed="false">
      <c r="A1942" s="5" t="s">
        <v>88</v>
      </c>
      <c r="B1942" s="5" t="s">
        <v>86</v>
      </c>
      <c r="C1942" s="5" t="s">
        <v>347</v>
      </c>
      <c r="D1942" s="6" t="n">
        <v>0.181498421052321</v>
      </c>
      <c r="E1942" s="6" t="n">
        <v>0.0246732316717164</v>
      </c>
      <c r="F1942" s="7" t="n">
        <v>1.89380629452793E-013</v>
      </c>
    </row>
    <row r="1943" customFormat="false" ht="15" hidden="false" customHeight="true" outlineLevel="0" collapsed="false">
      <c r="A1943" s="5" t="s">
        <v>88</v>
      </c>
      <c r="B1943" s="5" t="s">
        <v>86</v>
      </c>
      <c r="C1943" s="5" t="s">
        <v>348</v>
      </c>
      <c r="D1943" s="6" t="n">
        <v>0.181307926889863</v>
      </c>
      <c r="E1943" s="6" t="n">
        <v>0.0245388156371654</v>
      </c>
      <c r="F1943" s="7" t="n">
        <v>1.48363091664509E-013</v>
      </c>
    </row>
    <row r="1944" customFormat="false" ht="15" hidden="false" customHeight="true" outlineLevel="0" collapsed="false">
      <c r="A1944" s="5" t="s">
        <v>88</v>
      </c>
      <c r="B1944" s="5" t="s">
        <v>86</v>
      </c>
      <c r="C1944" s="5" t="s">
        <v>349</v>
      </c>
      <c r="D1944" s="6" t="n">
        <v>0.18063019539435</v>
      </c>
      <c r="E1944" s="6" t="n">
        <v>0.0245083984126101</v>
      </c>
      <c r="F1944" s="7" t="n">
        <v>1.70455834316778E-013</v>
      </c>
    </row>
    <row r="1945" customFormat="false" ht="15" hidden="false" customHeight="true" outlineLevel="0" collapsed="false">
      <c r="A1945" s="5" t="s">
        <v>88</v>
      </c>
      <c r="B1945" s="5" t="s">
        <v>86</v>
      </c>
      <c r="C1945" s="5" t="s">
        <v>350</v>
      </c>
      <c r="D1945" s="6" t="n">
        <v>0.181975691289906</v>
      </c>
      <c r="E1945" s="6" t="n">
        <v>0.0245204100840595</v>
      </c>
      <c r="F1945" s="7" t="n">
        <v>1.15891595696266E-013</v>
      </c>
    </row>
    <row r="1946" customFormat="false" ht="15" hidden="false" customHeight="true" outlineLevel="0" collapsed="false">
      <c r="A1946" s="5" t="s">
        <v>88</v>
      </c>
      <c r="B1946" s="5" t="s">
        <v>86</v>
      </c>
      <c r="C1946" s="5" t="s">
        <v>351</v>
      </c>
      <c r="D1946" s="6" t="n">
        <v>0.179679938314349</v>
      </c>
      <c r="E1946" s="6" t="n">
        <v>0.0244780118739698</v>
      </c>
      <c r="F1946" s="7" t="n">
        <v>2.12856353283871E-013</v>
      </c>
    </row>
    <row r="1947" customFormat="false" ht="15" hidden="false" customHeight="true" outlineLevel="0" collapsed="false">
      <c r="A1947" s="5" t="s">
        <v>88</v>
      </c>
      <c r="B1947" s="5" t="s">
        <v>86</v>
      </c>
      <c r="C1947" s="5" t="s">
        <v>352</v>
      </c>
      <c r="D1947" s="6" t="n">
        <v>0.180914955494202</v>
      </c>
      <c r="E1947" s="6" t="n">
        <v>0.0245253681705397</v>
      </c>
      <c r="F1947" s="7" t="n">
        <v>1.62327036313974E-013</v>
      </c>
    </row>
    <row r="1948" customFormat="false" ht="15" hidden="false" customHeight="true" outlineLevel="0" collapsed="false">
      <c r="A1948" s="5" t="s">
        <v>88</v>
      </c>
      <c r="B1948" s="5" t="s">
        <v>86</v>
      </c>
      <c r="C1948" s="5" t="s">
        <v>353</v>
      </c>
      <c r="D1948" s="6" t="n">
        <v>0.18149388170353</v>
      </c>
      <c r="E1948" s="6" t="n">
        <v>0.0245281769174849</v>
      </c>
      <c r="F1948" s="7" t="n">
        <v>1.36797440920403E-013</v>
      </c>
    </row>
    <row r="1949" customFormat="false" ht="15" hidden="false" customHeight="true" outlineLevel="0" collapsed="false">
      <c r="A1949" s="5" t="s">
        <v>88</v>
      </c>
      <c r="B1949" s="5" t="s">
        <v>86</v>
      </c>
      <c r="C1949" s="5" t="s">
        <v>354</v>
      </c>
      <c r="D1949" s="6" t="n">
        <v>0.180626479774096</v>
      </c>
      <c r="E1949" s="6" t="n">
        <v>0.0245109158669004</v>
      </c>
      <c r="F1949" s="7" t="n">
        <v>1.7162144056293E-013</v>
      </c>
    </row>
    <row r="1950" customFormat="false" ht="15" hidden="false" customHeight="true" outlineLevel="0" collapsed="false">
      <c r="A1950" s="5" t="s">
        <v>88</v>
      </c>
      <c r="B1950" s="5" t="s">
        <v>86</v>
      </c>
      <c r="C1950" s="5" t="s">
        <v>355</v>
      </c>
      <c r="D1950" s="6" t="n">
        <v>0.181882631616426</v>
      </c>
      <c r="E1950" s="6" t="n">
        <v>0.0245442844096537</v>
      </c>
      <c r="F1950" s="7" t="n">
        <v>1.25931945300889E-013</v>
      </c>
    </row>
    <row r="1951" customFormat="false" ht="15" hidden="false" customHeight="true" outlineLevel="0" collapsed="false">
      <c r="A1951" s="5" t="s">
        <v>88</v>
      </c>
      <c r="B1951" s="5" t="s">
        <v>86</v>
      </c>
      <c r="C1951" s="5" t="s">
        <v>356</v>
      </c>
      <c r="D1951" s="6" t="n">
        <v>0.183284797754138</v>
      </c>
      <c r="E1951" s="6" t="n">
        <v>0.0244526409036027</v>
      </c>
      <c r="F1951" s="7" t="n">
        <v>6.60455312935146E-014</v>
      </c>
    </row>
    <row r="1952" customFormat="false" ht="15" hidden="false" customHeight="true" outlineLevel="0" collapsed="false">
      <c r="A1952" s="5" t="s">
        <v>88</v>
      </c>
      <c r="B1952" s="5" t="s">
        <v>86</v>
      </c>
      <c r="C1952" s="5" t="s">
        <v>357</v>
      </c>
      <c r="D1952" s="6" t="n">
        <v>0.180338901469771</v>
      </c>
      <c r="E1952" s="6" t="n">
        <v>0.024489033117389</v>
      </c>
      <c r="F1952" s="7" t="n">
        <v>1.78388950477066E-013</v>
      </c>
    </row>
    <row r="1953" customFormat="false" ht="15" hidden="false" customHeight="true" outlineLevel="0" collapsed="false">
      <c r="A1953" s="5" t="s">
        <v>88</v>
      </c>
      <c r="B1953" s="5" t="s">
        <v>86</v>
      </c>
      <c r="C1953" s="5" t="s">
        <v>358</v>
      </c>
      <c r="D1953" s="6" t="n">
        <v>0.180561078486419</v>
      </c>
      <c r="E1953" s="6" t="n">
        <v>0.0244859247637768</v>
      </c>
      <c r="F1953" s="7" t="n">
        <v>1.65488345268556E-013</v>
      </c>
    </row>
    <row r="1954" customFormat="false" ht="15" hidden="false" customHeight="true" outlineLevel="0" collapsed="false">
      <c r="A1954" s="5" t="s">
        <v>88</v>
      </c>
      <c r="B1954" s="5" t="s">
        <v>86</v>
      </c>
      <c r="C1954" s="5" t="s">
        <v>359</v>
      </c>
      <c r="D1954" s="6" t="n">
        <v>0.182306871706589</v>
      </c>
      <c r="E1954" s="6" t="n">
        <v>0.0245062588864433</v>
      </c>
      <c r="F1954" s="7" t="n">
        <v>1.01299660917714E-013</v>
      </c>
    </row>
    <row r="1955" customFormat="false" ht="15" hidden="false" customHeight="true" outlineLevel="0" collapsed="false">
      <c r="A1955" s="5" t="s">
        <v>88</v>
      </c>
      <c r="B1955" s="5" t="s">
        <v>86</v>
      </c>
      <c r="C1955" s="5" t="s">
        <v>360</v>
      </c>
      <c r="D1955" s="6" t="n">
        <v>0.183657483259275</v>
      </c>
      <c r="E1955" s="6" t="n">
        <v>0.0244143035919704</v>
      </c>
      <c r="F1955" s="7" t="n">
        <v>5.37237238853107E-014</v>
      </c>
    </row>
    <row r="1956" customFormat="false" ht="15" hidden="false" customHeight="true" outlineLevel="0" collapsed="false">
      <c r="A1956" s="5" t="s">
        <v>88</v>
      </c>
      <c r="B1956" s="5" t="s">
        <v>86</v>
      </c>
      <c r="C1956" s="5" t="s">
        <v>361</v>
      </c>
      <c r="D1956" s="6" t="n">
        <v>0.183498590378484</v>
      </c>
      <c r="E1956" s="6" t="n">
        <v>0.0245235954261193</v>
      </c>
      <c r="F1956" s="7" t="n">
        <v>7.29040702625744E-014</v>
      </c>
    </row>
    <row r="1957" customFormat="false" ht="15" hidden="false" customHeight="true" outlineLevel="0" collapsed="false">
      <c r="A1957" s="5" t="s">
        <v>88</v>
      </c>
      <c r="B1957" s="5" t="s">
        <v>86</v>
      </c>
      <c r="C1957" s="5" t="s">
        <v>362</v>
      </c>
      <c r="D1957" s="6" t="n">
        <v>0.181031620037876</v>
      </c>
      <c r="E1957" s="6" t="n">
        <v>0.024524689257041</v>
      </c>
      <c r="F1957" s="7" t="n">
        <v>1.56390150466277E-013</v>
      </c>
    </row>
    <row r="1958" customFormat="false" ht="15" hidden="false" customHeight="true" outlineLevel="0" collapsed="false">
      <c r="A1958" s="5" t="s">
        <v>88</v>
      </c>
      <c r="B1958" s="5" t="s">
        <v>86</v>
      </c>
      <c r="C1958" s="5" t="s">
        <v>776</v>
      </c>
      <c r="D1958" s="6" t="n">
        <v>0.181552377655411</v>
      </c>
      <c r="E1958" s="6" t="n">
        <v>0.0245178054137836</v>
      </c>
      <c r="F1958" s="7" t="n">
        <v>1.31229959195854E-013</v>
      </c>
    </row>
    <row r="1959" customFormat="false" ht="15" hidden="false" customHeight="true" outlineLevel="0" collapsed="false">
      <c r="A1959" s="5" t="s">
        <v>88</v>
      </c>
      <c r="B1959" s="5" t="s">
        <v>86</v>
      </c>
      <c r="C1959" s="5" t="s">
        <v>363</v>
      </c>
      <c r="D1959" s="6" t="n">
        <v>0.181143380537773</v>
      </c>
      <c r="E1959" s="6" t="n">
        <v>0.0245433408309703</v>
      </c>
      <c r="F1959" s="7" t="n">
        <v>1.57635689851419E-013</v>
      </c>
    </row>
    <row r="1960" customFormat="false" ht="15" hidden="false" customHeight="true" outlineLevel="0" collapsed="false">
      <c r="A1960" s="5" t="s">
        <v>88</v>
      </c>
      <c r="B1960" s="5" t="s">
        <v>86</v>
      </c>
      <c r="C1960" s="5" t="s">
        <v>364</v>
      </c>
      <c r="D1960" s="6" t="n">
        <v>0.180728044712691</v>
      </c>
      <c r="E1960" s="6" t="n">
        <v>0.0245026560738968</v>
      </c>
      <c r="F1960" s="7" t="n">
        <v>1.63293343104078E-013</v>
      </c>
    </row>
    <row r="1961" customFormat="false" ht="15" hidden="false" customHeight="true" outlineLevel="0" collapsed="false">
      <c r="A1961" s="5" t="s">
        <v>88</v>
      </c>
      <c r="B1961" s="5" t="s">
        <v>86</v>
      </c>
      <c r="C1961" s="5" t="s">
        <v>365</v>
      </c>
      <c r="D1961" s="6" t="n">
        <v>0.180847844978645</v>
      </c>
      <c r="E1961" s="6" t="n">
        <v>0.0245218784005147</v>
      </c>
      <c r="F1961" s="7" t="n">
        <v>1.64395778727531E-013</v>
      </c>
    </row>
    <row r="1962" customFormat="false" ht="15" hidden="false" customHeight="true" outlineLevel="0" collapsed="false">
      <c r="A1962" s="5" t="s">
        <v>88</v>
      </c>
      <c r="B1962" s="5" t="s">
        <v>86</v>
      </c>
      <c r="C1962" s="5" t="s">
        <v>366</v>
      </c>
      <c r="D1962" s="6" t="n">
        <v>0.181463671180182</v>
      </c>
      <c r="E1962" s="6" t="n">
        <v>0.0245341500641147</v>
      </c>
      <c r="F1962" s="7" t="n">
        <v>1.39956844956658E-013</v>
      </c>
    </row>
    <row r="1963" customFormat="false" ht="15" hidden="false" customHeight="true" outlineLevel="0" collapsed="false">
      <c r="A1963" s="5" t="s">
        <v>88</v>
      </c>
      <c r="B1963" s="5" t="s">
        <v>86</v>
      </c>
      <c r="C1963" s="5" t="s">
        <v>367</v>
      </c>
      <c r="D1963" s="6" t="n">
        <v>0.179990266813035</v>
      </c>
      <c r="E1963" s="6" t="n">
        <v>0.0244740236517876</v>
      </c>
      <c r="F1963" s="7" t="n">
        <v>1.91874204843541E-013</v>
      </c>
    </row>
    <row r="1964" customFormat="false" ht="15" hidden="false" customHeight="true" outlineLevel="0" collapsed="false">
      <c r="A1964" s="5" t="s">
        <v>88</v>
      </c>
      <c r="B1964" s="5" t="s">
        <v>86</v>
      </c>
      <c r="C1964" s="5" t="s">
        <v>368</v>
      </c>
      <c r="D1964" s="6" t="n">
        <v>0.181106616389555</v>
      </c>
      <c r="E1964" s="6" t="n">
        <v>0.0245220609119632</v>
      </c>
      <c r="F1964" s="7" t="n">
        <v>1.5193110016384E-013</v>
      </c>
    </row>
    <row r="1965" customFormat="false" ht="15" hidden="false" customHeight="true" outlineLevel="0" collapsed="false">
      <c r="A1965" s="5" t="s">
        <v>88</v>
      </c>
      <c r="B1965" s="5" t="s">
        <v>86</v>
      </c>
      <c r="C1965" s="5" t="s">
        <v>369</v>
      </c>
      <c r="D1965" s="6" t="n">
        <v>0.182143265322659</v>
      </c>
      <c r="E1965" s="6" t="n">
        <v>0.024565380938637</v>
      </c>
      <c r="F1965" s="7" t="n">
        <v>1.21962767833592E-013</v>
      </c>
    </row>
    <row r="1966" customFormat="false" ht="15" hidden="false" customHeight="true" outlineLevel="0" collapsed="false">
      <c r="A1966" s="5" t="s">
        <v>88</v>
      </c>
      <c r="B1966" s="5" t="s">
        <v>86</v>
      </c>
      <c r="C1966" s="5" t="s">
        <v>370</v>
      </c>
      <c r="D1966" s="6" t="n">
        <v>0.181436406072898</v>
      </c>
      <c r="E1966" s="6" t="n">
        <v>0.0245327788465795</v>
      </c>
      <c r="F1966" s="7" t="n">
        <v>1.40694026018926E-013</v>
      </c>
    </row>
    <row r="1967" customFormat="false" ht="15" hidden="false" customHeight="true" outlineLevel="0" collapsed="false">
      <c r="A1967" s="5" t="s">
        <v>88</v>
      </c>
      <c r="B1967" s="5" t="s">
        <v>86</v>
      </c>
      <c r="C1967" s="5" t="s">
        <v>371</v>
      </c>
      <c r="D1967" s="6" t="n">
        <v>0.180694888969783</v>
      </c>
      <c r="E1967" s="6" t="n">
        <v>0.0245197270279912</v>
      </c>
      <c r="F1967" s="7" t="n">
        <v>1.71438963227444E-013</v>
      </c>
    </row>
    <row r="1968" customFormat="false" ht="15" hidden="false" customHeight="true" outlineLevel="0" collapsed="false">
      <c r="A1968" s="5" t="s">
        <v>88</v>
      </c>
      <c r="B1968" s="5" t="s">
        <v>86</v>
      </c>
      <c r="C1968" s="5" t="s">
        <v>372</v>
      </c>
      <c r="D1968" s="6" t="n">
        <v>0.181429684142202</v>
      </c>
      <c r="E1968" s="6" t="n">
        <v>0.0245278960710456</v>
      </c>
      <c r="F1968" s="7" t="n">
        <v>1.39430837141805E-013</v>
      </c>
    </row>
    <row r="1969" customFormat="false" ht="15" hidden="false" customHeight="true" outlineLevel="0" collapsed="false">
      <c r="A1969" s="5" t="s">
        <v>88</v>
      </c>
      <c r="B1969" s="5" t="s">
        <v>86</v>
      </c>
      <c r="C1969" s="5" t="s">
        <v>373</v>
      </c>
      <c r="D1969" s="6" t="n">
        <v>0.17974523287339</v>
      </c>
      <c r="E1969" s="6" t="n">
        <v>0.0244797740415182</v>
      </c>
      <c r="F1969" s="7" t="n">
        <v>2.09481080705417E-013</v>
      </c>
    </row>
    <row r="1970" customFormat="false" ht="15" hidden="false" customHeight="true" outlineLevel="0" collapsed="false">
      <c r="A1970" s="5" t="s">
        <v>88</v>
      </c>
      <c r="B1970" s="5" t="s">
        <v>86</v>
      </c>
      <c r="C1970" s="5" t="s">
        <v>374</v>
      </c>
      <c r="D1970" s="6" t="n">
        <v>0.18244782885423</v>
      </c>
      <c r="E1970" s="6" t="n">
        <v>0.024475716582607</v>
      </c>
      <c r="F1970" s="7" t="n">
        <v>9.0388360631631E-014</v>
      </c>
    </row>
    <row r="1971" customFormat="false" ht="15" hidden="false" customHeight="true" outlineLevel="0" collapsed="false">
      <c r="A1971" s="5" t="s">
        <v>88</v>
      </c>
      <c r="B1971" s="5" t="s">
        <v>86</v>
      </c>
      <c r="C1971" s="5" t="s">
        <v>375</v>
      </c>
      <c r="D1971" s="6" t="n">
        <v>0.18213326022382</v>
      </c>
      <c r="E1971" s="6" t="n">
        <v>0.0245106967126329</v>
      </c>
      <c r="F1971" s="7" t="n">
        <v>1.07970290517539E-013</v>
      </c>
    </row>
    <row r="1972" customFormat="false" ht="15" hidden="false" customHeight="true" outlineLevel="0" collapsed="false">
      <c r="A1972" s="5" t="s">
        <v>88</v>
      </c>
      <c r="B1972" s="5" t="s">
        <v>86</v>
      </c>
      <c r="C1972" s="5" t="s">
        <v>376</v>
      </c>
      <c r="D1972" s="6" t="n">
        <v>0.179137960869574</v>
      </c>
      <c r="E1972" s="6" t="n">
        <v>0.0244663501373932</v>
      </c>
      <c r="F1972" s="7" t="n">
        <v>2.4464884937988E-013</v>
      </c>
    </row>
    <row r="1973" customFormat="false" ht="15" hidden="false" customHeight="true" outlineLevel="0" collapsed="false">
      <c r="A1973" s="5" t="s">
        <v>88</v>
      </c>
      <c r="B1973" s="5" t="s">
        <v>86</v>
      </c>
      <c r="C1973" s="5" t="s">
        <v>377</v>
      </c>
      <c r="D1973" s="6" t="n">
        <v>0.181096622108652</v>
      </c>
      <c r="E1973" s="6" t="n">
        <v>0.0245265541635391</v>
      </c>
      <c r="F1973" s="7" t="n">
        <v>1.53954644492189E-013</v>
      </c>
    </row>
    <row r="1974" customFormat="false" ht="15" hidden="false" customHeight="true" outlineLevel="0" collapsed="false">
      <c r="A1974" s="5" t="s">
        <v>88</v>
      </c>
      <c r="B1974" s="5" t="s">
        <v>86</v>
      </c>
      <c r="C1974" s="5" t="s">
        <v>378</v>
      </c>
      <c r="D1974" s="6" t="n">
        <v>0.180771645946109</v>
      </c>
      <c r="E1974" s="6" t="n">
        <v>0.0245083552681966</v>
      </c>
      <c r="F1974" s="7" t="n">
        <v>1.63215095842047E-013</v>
      </c>
    </row>
    <row r="1975" customFormat="false" ht="15" hidden="false" customHeight="true" outlineLevel="0" collapsed="false">
      <c r="A1975" s="5" t="s">
        <v>88</v>
      </c>
      <c r="B1975" s="5" t="s">
        <v>86</v>
      </c>
      <c r="C1975" s="5" t="s">
        <v>379</v>
      </c>
      <c r="D1975" s="6" t="n">
        <v>0.181525052265897</v>
      </c>
      <c r="E1975" s="6" t="n">
        <v>0.0245355638629309</v>
      </c>
      <c r="F1975" s="7" t="n">
        <v>1.37787065721306E-013</v>
      </c>
    </row>
    <row r="1976" customFormat="false" ht="15" hidden="false" customHeight="true" outlineLevel="0" collapsed="false">
      <c r="A1976" s="5" t="s">
        <v>88</v>
      </c>
      <c r="B1976" s="5" t="s">
        <v>86</v>
      </c>
      <c r="C1976" s="5" t="s">
        <v>380</v>
      </c>
      <c r="D1976" s="6" t="n">
        <v>0.181131893530403</v>
      </c>
      <c r="E1976" s="6" t="n">
        <v>0.0245308334640726</v>
      </c>
      <c r="F1976" s="7" t="n">
        <v>1.53781452944734E-013</v>
      </c>
    </row>
    <row r="1977" customFormat="false" ht="15" hidden="false" customHeight="true" outlineLevel="0" collapsed="false">
      <c r="A1977" s="5" t="s">
        <v>88</v>
      </c>
      <c r="B1977" s="5" t="s">
        <v>86</v>
      </c>
      <c r="C1977" s="5" t="s">
        <v>381</v>
      </c>
      <c r="D1977" s="6" t="n">
        <v>0.179528743225811</v>
      </c>
      <c r="E1977" s="6" t="n">
        <v>0.0244582218806172</v>
      </c>
      <c r="F1977" s="7" t="n">
        <v>2.13242142826041E-013</v>
      </c>
    </row>
    <row r="1978" customFormat="false" ht="15" hidden="false" customHeight="true" outlineLevel="0" collapsed="false">
      <c r="A1978" s="5" t="s">
        <v>88</v>
      </c>
      <c r="B1978" s="5" t="s">
        <v>86</v>
      </c>
      <c r="C1978" s="5" t="s">
        <v>382</v>
      </c>
      <c r="D1978" s="6" t="n">
        <v>0.180954513181818</v>
      </c>
      <c r="E1978" s="6" t="n">
        <v>0.0245294658096764</v>
      </c>
      <c r="F1978" s="7" t="n">
        <v>1.6186410354349E-013</v>
      </c>
    </row>
    <row r="1979" customFormat="false" ht="15" hidden="false" customHeight="true" outlineLevel="0" collapsed="false">
      <c r="A1979" s="5" t="s">
        <v>88</v>
      </c>
      <c r="B1979" s="5" t="s">
        <v>86</v>
      </c>
      <c r="C1979" s="5" t="s">
        <v>383</v>
      </c>
      <c r="D1979" s="6" t="n">
        <v>0.178962862697129</v>
      </c>
      <c r="E1979" s="6" t="n">
        <v>0.0244347897005402</v>
      </c>
      <c r="F1979" s="7" t="n">
        <v>2.4050587138813E-013</v>
      </c>
    </row>
    <row r="1980" customFormat="false" ht="15" hidden="false" customHeight="true" outlineLevel="0" collapsed="false">
      <c r="A1980" s="5" t="s">
        <v>88</v>
      </c>
      <c r="B1980" s="5" t="s">
        <v>86</v>
      </c>
      <c r="C1980" s="5" t="s">
        <v>384</v>
      </c>
      <c r="D1980" s="6" t="n">
        <v>0.180674417210655</v>
      </c>
      <c r="E1980" s="6" t="n">
        <v>0.0245708755253952</v>
      </c>
      <c r="F1980" s="7" t="n">
        <v>1.93525575719656E-013</v>
      </c>
    </row>
    <row r="1981" customFormat="false" ht="15" hidden="false" customHeight="true" outlineLevel="0" collapsed="false">
      <c r="A1981" s="5" t="s">
        <v>88</v>
      </c>
      <c r="B1981" s="5" t="s">
        <v>86</v>
      </c>
      <c r="C1981" s="5" t="s">
        <v>385</v>
      </c>
      <c r="D1981" s="6" t="n">
        <v>0.181167872469823</v>
      </c>
      <c r="E1981" s="6" t="n">
        <v>0.0245292328232013</v>
      </c>
      <c r="F1981" s="7" t="n">
        <v>1.51545721957508E-013</v>
      </c>
    </row>
    <row r="1982" customFormat="false" ht="15" hidden="false" customHeight="true" outlineLevel="0" collapsed="false">
      <c r="A1982" s="5" t="s">
        <v>88</v>
      </c>
      <c r="B1982" s="5" t="s">
        <v>86</v>
      </c>
      <c r="C1982" s="5" t="s">
        <v>386</v>
      </c>
      <c r="D1982" s="6" t="n">
        <v>0.182553318030434</v>
      </c>
      <c r="E1982" s="6" t="n">
        <v>0.0245238528700324</v>
      </c>
      <c r="F1982" s="7" t="n">
        <v>9.77491806375876E-014</v>
      </c>
    </row>
    <row r="1983" customFormat="false" ht="15" hidden="false" customHeight="true" outlineLevel="0" collapsed="false">
      <c r="A1983" s="5" t="s">
        <v>88</v>
      </c>
      <c r="B1983" s="5" t="s">
        <v>86</v>
      </c>
      <c r="C1983" s="5" t="s">
        <v>387</v>
      </c>
      <c r="D1983" s="6" t="n">
        <v>0.180936271755246</v>
      </c>
      <c r="E1983" s="6" t="n">
        <v>0.0245176115214297</v>
      </c>
      <c r="F1983" s="7" t="n">
        <v>1.58469113606726E-013</v>
      </c>
    </row>
    <row r="1984" customFormat="false" ht="15" hidden="false" customHeight="true" outlineLevel="0" collapsed="false">
      <c r="A1984" s="5" t="s">
        <v>88</v>
      </c>
      <c r="B1984" s="5" t="s">
        <v>86</v>
      </c>
      <c r="C1984" s="5" t="s">
        <v>388</v>
      </c>
      <c r="D1984" s="6" t="n">
        <v>0.18063053832956</v>
      </c>
      <c r="E1984" s="6" t="n">
        <v>0.0245200381544111</v>
      </c>
      <c r="F1984" s="7" t="n">
        <v>1.74969092204805E-013</v>
      </c>
    </row>
    <row r="1985" customFormat="false" ht="15" hidden="false" customHeight="true" outlineLevel="0" collapsed="false">
      <c r="A1985" s="5" t="s">
        <v>88</v>
      </c>
      <c r="B1985" s="5" t="s">
        <v>86</v>
      </c>
      <c r="C1985" s="5" t="s">
        <v>389</v>
      </c>
      <c r="D1985" s="6" t="n">
        <v>0.18161482974008</v>
      </c>
      <c r="E1985" s="6" t="n">
        <v>0.0245223282771679</v>
      </c>
      <c r="F1985" s="7" t="n">
        <v>1.30067198782795E-013</v>
      </c>
    </row>
    <row r="1986" customFormat="false" ht="15" hidden="false" customHeight="true" outlineLevel="0" collapsed="false">
      <c r="A1986" s="5" t="s">
        <v>88</v>
      </c>
      <c r="B1986" s="5" t="s">
        <v>86</v>
      </c>
      <c r="C1986" s="5" t="s">
        <v>390</v>
      </c>
      <c r="D1986" s="6" t="n">
        <v>0.18182395207905</v>
      </c>
      <c r="E1986" s="6" t="n">
        <v>0.024537965357638</v>
      </c>
      <c r="F1986" s="7" t="n">
        <v>1.26391480105784E-013</v>
      </c>
    </row>
    <row r="1987" customFormat="false" ht="15" hidden="false" customHeight="true" outlineLevel="0" collapsed="false">
      <c r="A1987" s="5" t="s">
        <v>88</v>
      </c>
      <c r="B1987" s="5" t="s">
        <v>86</v>
      </c>
      <c r="C1987" s="5" t="s">
        <v>391</v>
      </c>
      <c r="D1987" s="6" t="n">
        <v>0.180151707728666</v>
      </c>
      <c r="E1987" s="6" t="n">
        <v>0.0244817302433207</v>
      </c>
      <c r="F1987" s="7" t="n">
        <v>1.85823561456468E-013</v>
      </c>
    </row>
    <row r="1988" customFormat="false" ht="15" hidden="false" customHeight="true" outlineLevel="0" collapsed="false">
      <c r="A1988" s="5" t="s">
        <v>88</v>
      </c>
      <c r="B1988" s="5" t="s">
        <v>86</v>
      </c>
      <c r="C1988" s="5" t="s">
        <v>392</v>
      </c>
      <c r="D1988" s="6" t="n">
        <v>0.182416445267406</v>
      </c>
      <c r="E1988" s="6" t="n">
        <v>0.0244858061252531</v>
      </c>
      <c r="F1988" s="7" t="n">
        <v>9.34214698158577E-014</v>
      </c>
    </row>
    <row r="1989" customFormat="false" ht="15" hidden="false" customHeight="true" outlineLevel="0" collapsed="false">
      <c r="A1989" s="5" t="s">
        <v>88</v>
      </c>
      <c r="B1989" s="5" t="s">
        <v>86</v>
      </c>
      <c r="C1989" s="5" t="s">
        <v>393</v>
      </c>
      <c r="D1989" s="6" t="n">
        <v>0.182302674792078</v>
      </c>
      <c r="E1989" s="6" t="n">
        <v>0.0245805943266936</v>
      </c>
      <c r="F1989" s="7" t="n">
        <v>1.2023015122092E-013</v>
      </c>
    </row>
    <row r="1990" customFormat="false" ht="15" hidden="false" customHeight="true" outlineLevel="0" collapsed="false">
      <c r="A1990" s="5" t="s">
        <v>88</v>
      </c>
      <c r="B1990" s="5" t="s">
        <v>86</v>
      </c>
      <c r="C1990" s="5" t="s">
        <v>394</v>
      </c>
      <c r="D1990" s="6" t="n">
        <v>0.180383614462745</v>
      </c>
      <c r="E1990" s="6" t="n">
        <v>0.0245144433951025</v>
      </c>
      <c r="F1990" s="7" t="n">
        <v>1.86324799305283E-013</v>
      </c>
    </row>
    <row r="1991" customFormat="false" ht="15" hidden="false" customHeight="true" outlineLevel="0" collapsed="false">
      <c r="A1991" s="5" t="s">
        <v>88</v>
      </c>
      <c r="B1991" s="5" t="s">
        <v>86</v>
      </c>
      <c r="C1991" s="5" t="s">
        <v>395</v>
      </c>
      <c r="D1991" s="6" t="n">
        <v>0.181278167948608</v>
      </c>
      <c r="E1991" s="6" t="n">
        <v>0.0245250584216172</v>
      </c>
      <c r="F1991" s="7" t="n">
        <v>1.45128199328533E-013</v>
      </c>
    </row>
    <row r="1992" customFormat="false" ht="15" hidden="false" customHeight="true" outlineLevel="0" collapsed="false">
      <c r="A1992" s="5" t="s">
        <v>88</v>
      </c>
      <c r="B1992" s="5" t="s">
        <v>86</v>
      </c>
      <c r="C1992" s="5" t="s">
        <v>396</v>
      </c>
      <c r="D1992" s="6" t="n">
        <v>0.183172930566763</v>
      </c>
      <c r="E1992" s="6" t="n">
        <v>0.0244870588427393</v>
      </c>
      <c r="F1992" s="7" t="n">
        <v>7.40982154005523E-014</v>
      </c>
    </row>
    <row r="1993" customFormat="false" ht="15" hidden="false" customHeight="true" outlineLevel="0" collapsed="false">
      <c r="A1993" s="5" t="s">
        <v>88</v>
      </c>
      <c r="B1993" s="5" t="s">
        <v>86</v>
      </c>
      <c r="C1993" s="5" t="s">
        <v>397</v>
      </c>
      <c r="D1993" s="6" t="n">
        <v>0.181453554066638</v>
      </c>
      <c r="E1993" s="6" t="n">
        <v>0.0245169188937672</v>
      </c>
      <c r="F1993" s="7" t="n">
        <v>1.35003491291571E-013</v>
      </c>
    </row>
    <row r="1994" customFormat="false" ht="15" hidden="false" customHeight="true" outlineLevel="0" collapsed="false">
      <c r="A1994" s="5" t="s">
        <v>88</v>
      </c>
      <c r="B1994" s="5" t="s">
        <v>86</v>
      </c>
      <c r="C1994" s="5" t="s">
        <v>398</v>
      </c>
      <c r="D1994" s="6" t="n">
        <v>0.182070344678282</v>
      </c>
      <c r="E1994" s="6" t="n">
        <v>0.0245258298137559</v>
      </c>
      <c r="F1994" s="7" t="n">
        <v>1.13965191857671E-013</v>
      </c>
    </row>
    <row r="1995" customFormat="false" ht="15" hidden="false" customHeight="true" outlineLevel="0" collapsed="false">
      <c r="A1995" s="5" t="s">
        <v>88</v>
      </c>
      <c r="B1995" s="5" t="s">
        <v>86</v>
      </c>
      <c r="C1995" s="5" t="s">
        <v>399</v>
      </c>
      <c r="D1995" s="6" t="n">
        <v>0.180447727911218</v>
      </c>
      <c r="E1995" s="6" t="n">
        <v>0.0245277859237194</v>
      </c>
      <c r="F1995" s="7" t="n">
        <v>1.88272798035178E-013</v>
      </c>
    </row>
    <row r="1996" customFormat="false" ht="15" hidden="false" customHeight="true" outlineLevel="0" collapsed="false">
      <c r="A1996" s="5" t="s">
        <v>88</v>
      </c>
      <c r="B1996" s="5" t="s">
        <v>86</v>
      </c>
      <c r="C1996" s="5" t="s">
        <v>400</v>
      </c>
      <c r="D1996" s="6" t="n">
        <v>0.18296833319329</v>
      </c>
      <c r="E1996" s="6" t="n">
        <v>0.0244828705630025</v>
      </c>
      <c r="F1996" s="7" t="n">
        <v>7.81962094447783E-014</v>
      </c>
    </row>
    <row r="1997" customFormat="false" ht="15" hidden="false" customHeight="true" outlineLevel="0" collapsed="false">
      <c r="A1997" s="5" t="s">
        <v>88</v>
      </c>
      <c r="B1997" s="5" t="s">
        <v>86</v>
      </c>
      <c r="C1997" s="5" t="s">
        <v>401</v>
      </c>
      <c r="D1997" s="6" t="n">
        <v>0.182900840127826</v>
      </c>
      <c r="E1997" s="6" t="n">
        <v>0.0245001427350868</v>
      </c>
      <c r="F1997" s="7" t="n">
        <v>8.31119818055735E-014</v>
      </c>
    </row>
    <row r="1998" customFormat="false" ht="15" hidden="false" customHeight="true" outlineLevel="0" collapsed="false">
      <c r="A1998" s="5" t="s">
        <v>88</v>
      </c>
      <c r="B1998" s="5" t="s">
        <v>86</v>
      </c>
      <c r="C1998" s="5" t="s">
        <v>402</v>
      </c>
      <c r="D1998" s="6" t="n">
        <v>0.181147760197935</v>
      </c>
      <c r="E1998" s="6" t="n">
        <v>0.0245261472012399</v>
      </c>
      <c r="F1998" s="7" t="n">
        <v>1.51421416145985E-013</v>
      </c>
    </row>
    <row r="1999" customFormat="false" ht="15" hidden="false" customHeight="true" outlineLevel="0" collapsed="false">
      <c r="A1999" s="5" t="s">
        <v>88</v>
      </c>
      <c r="B1999" s="5" t="s">
        <v>86</v>
      </c>
      <c r="C1999" s="5" t="s">
        <v>403</v>
      </c>
      <c r="D1999" s="6" t="n">
        <v>0.181305600315359</v>
      </c>
      <c r="E1999" s="6" t="n">
        <v>0.0245220625979744</v>
      </c>
      <c r="F1999" s="7" t="n">
        <v>1.42937532906033E-013</v>
      </c>
    </row>
    <row r="2000" customFormat="false" ht="15" hidden="false" customHeight="true" outlineLevel="0" collapsed="false">
      <c r="A2000" s="5" t="s">
        <v>88</v>
      </c>
      <c r="B2000" s="5" t="s">
        <v>86</v>
      </c>
      <c r="C2000" s="5" t="s">
        <v>201</v>
      </c>
      <c r="D2000" s="6" t="n">
        <v>0.179299812525534</v>
      </c>
      <c r="E2000" s="6" t="n">
        <v>0.0246230300954894</v>
      </c>
      <c r="F2000" s="7" t="n">
        <v>3.29411838993928E-013</v>
      </c>
    </row>
    <row r="2001" customFormat="false" ht="15" hidden="false" customHeight="true" outlineLevel="0" collapsed="false">
      <c r="A2001" s="5" t="s">
        <v>88</v>
      </c>
      <c r="B2001" s="5" t="s">
        <v>86</v>
      </c>
      <c r="C2001" s="5" t="s">
        <v>404</v>
      </c>
      <c r="D2001" s="6" t="n">
        <v>0.180627952032662</v>
      </c>
      <c r="E2001" s="6" t="n">
        <v>0.0245071756526891</v>
      </c>
      <c r="F2001" s="7" t="n">
        <v>1.701030540758E-013</v>
      </c>
    </row>
    <row r="2002" customFormat="false" ht="15" hidden="false" customHeight="true" outlineLevel="0" collapsed="false">
      <c r="A2002" s="5" t="s">
        <v>88</v>
      </c>
      <c r="B2002" s="5" t="s">
        <v>86</v>
      </c>
      <c r="C2002" s="5" t="s">
        <v>405</v>
      </c>
      <c r="D2002" s="6" t="n">
        <v>0.181317868733827</v>
      </c>
      <c r="E2002" s="6" t="n">
        <v>0.0245346768745159</v>
      </c>
      <c r="F2002" s="7" t="n">
        <v>1.46531756016439E-013</v>
      </c>
    </row>
    <row r="2003" customFormat="false" ht="15" hidden="false" customHeight="true" outlineLevel="0" collapsed="false">
      <c r="A2003" s="5" t="s">
        <v>88</v>
      </c>
      <c r="B2003" s="5" t="s">
        <v>86</v>
      </c>
      <c r="C2003" s="5" t="s">
        <v>406</v>
      </c>
      <c r="D2003" s="6" t="n">
        <v>0.180635494645761</v>
      </c>
      <c r="E2003" s="6" t="n">
        <v>0.0245111858041996</v>
      </c>
      <c r="F2003" s="7" t="n">
        <v>1.71252874523095E-013</v>
      </c>
    </row>
    <row r="2004" customFormat="false" ht="15" hidden="false" customHeight="true" outlineLevel="0" collapsed="false">
      <c r="A2004" s="5" t="s">
        <v>88</v>
      </c>
      <c r="B2004" s="5" t="s">
        <v>86</v>
      </c>
      <c r="C2004" s="5" t="s">
        <v>407</v>
      </c>
      <c r="D2004" s="6" t="n">
        <v>0.181136640278088</v>
      </c>
      <c r="E2004" s="6" t="n">
        <v>0.0245279511670359</v>
      </c>
      <c r="F2004" s="7" t="n">
        <v>1.52559892189196E-013</v>
      </c>
    </row>
    <row r="2005" customFormat="false" ht="15" hidden="false" customHeight="true" outlineLevel="0" collapsed="false">
      <c r="A2005" s="5" t="s">
        <v>88</v>
      </c>
      <c r="B2005" s="5" t="s">
        <v>86</v>
      </c>
      <c r="C2005" s="5" t="s">
        <v>408</v>
      </c>
      <c r="D2005" s="6" t="n">
        <v>0.182138576776688</v>
      </c>
      <c r="E2005" s="6" t="n">
        <v>0.0245286263652687</v>
      </c>
      <c r="F2005" s="7" t="n">
        <v>1.12311010196867E-013</v>
      </c>
    </row>
    <row r="2006" customFormat="false" ht="15" hidden="false" customHeight="true" outlineLevel="0" collapsed="false">
      <c r="A2006" s="5" t="s">
        <v>88</v>
      </c>
      <c r="B2006" s="5" t="s">
        <v>86</v>
      </c>
      <c r="C2006" s="5" t="s">
        <v>409</v>
      </c>
      <c r="D2006" s="6" t="n">
        <v>0.180440792145445</v>
      </c>
      <c r="E2006" s="6" t="n">
        <v>0.0244897554976886</v>
      </c>
      <c r="F2006" s="7" t="n">
        <v>1.73192275399749E-013</v>
      </c>
    </row>
    <row r="2007" customFormat="false" ht="15" hidden="false" customHeight="true" outlineLevel="0" collapsed="false">
      <c r="A2007" s="5" t="s">
        <v>88</v>
      </c>
      <c r="B2007" s="5" t="s">
        <v>86</v>
      </c>
      <c r="C2007" s="5" t="s">
        <v>410</v>
      </c>
      <c r="D2007" s="6" t="n">
        <v>0.181680792507965</v>
      </c>
      <c r="E2007" s="6" t="n">
        <v>0.024518283597351</v>
      </c>
      <c r="F2007" s="7" t="n">
        <v>1.26287335320884E-013</v>
      </c>
    </row>
    <row r="2008" customFormat="false" ht="15" hidden="false" customHeight="true" outlineLevel="0" collapsed="false">
      <c r="A2008" s="5" t="s">
        <v>88</v>
      </c>
      <c r="B2008" s="5" t="s">
        <v>86</v>
      </c>
      <c r="C2008" s="5" t="s">
        <v>411</v>
      </c>
      <c r="D2008" s="6" t="n">
        <v>0.181295964720305</v>
      </c>
      <c r="E2008" s="6" t="n">
        <v>0.0245278990677284</v>
      </c>
      <c r="F2008" s="7" t="n">
        <v>1.45270694820907E-013</v>
      </c>
    </row>
    <row r="2009" customFormat="false" ht="15" hidden="false" customHeight="true" outlineLevel="0" collapsed="false">
      <c r="A2009" s="5" t="s">
        <v>88</v>
      </c>
      <c r="B2009" s="5" t="s">
        <v>86</v>
      </c>
      <c r="C2009" s="5" t="s">
        <v>777</v>
      </c>
      <c r="D2009" s="6" t="n">
        <v>0.180627895560373</v>
      </c>
      <c r="E2009" s="6" t="n">
        <v>0.0244979553573148</v>
      </c>
      <c r="F2009" s="7" t="n">
        <v>1.6660217722302E-013</v>
      </c>
    </row>
    <row r="2010" customFormat="false" ht="15" hidden="false" customHeight="true" outlineLevel="0" collapsed="false">
      <c r="A2010" s="5" t="s">
        <v>88</v>
      </c>
      <c r="B2010" s="5" t="s">
        <v>86</v>
      </c>
      <c r="C2010" s="5" t="s">
        <v>412</v>
      </c>
      <c r="D2010" s="6" t="n">
        <v>0.179651615391133</v>
      </c>
      <c r="E2010" s="6" t="n">
        <v>0.0245075971378184</v>
      </c>
      <c r="F2010" s="7" t="n">
        <v>2.2938818736741E-013</v>
      </c>
    </row>
    <row r="2011" customFormat="false" ht="15" hidden="false" customHeight="true" outlineLevel="0" collapsed="false">
      <c r="A2011" s="5" t="s">
        <v>88</v>
      </c>
      <c r="B2011" s="5" t="s">
        <v>86</v>
      </c>
      <c r="C2011" s="5" t="s">
        <v>413</v>
      </c>
      <c r="D2011" s="6" t="n">
        <v>0.180461265522215</v>
      </c>
      <c r="E2011" s="6" t="n">
        <v>0.0244872153950527</v>
      </c>
      <c r="F2011" s="7" t="n">
        <v>1.71125918927991E-013</v>
      </c>
    </row>
    <row r="2012" customFormat="false" ht="15" hidden="false" customHeight="true" outlineLevel="0" collapsed="false">
      <c r="A2012" s="5" t="s">
        <v>88</v>
      </c>
      <c r="B2012" s="5" t="s">
        <v>86</v>
      </c>
      <c r="C2012" s="5" t="s">
        <v>414</v>
      </c>
      <c r="D2012" s="6" t="n">
        <v>0.180421409580489</v>
      </c>
      <c r="E2012" s="6" t="n">
        <v>0.0245435968579348</v>
      </c>
      <c r="F2012" s="7" t="n">
        <v>1.96643729826135E-013</v>
      </c>
    </row>
    <row r="2013" customFormat="false" ht="15" hidden="false" customHeight="true" outlineLevel="0" collapsed="false">
      <c r="A2013" s="5" t="s">
        <v>88</v>
      </c>
      <c r="B2013" s="5" t="s">
        <v>86</v>
      </c>
      <c r="C2013" s="5" t="s">
        <v>415</v>
      </c>
      <c r="D2013" s="6" t="n">
        <v>0.181559059046946</v>
      </c>
      <c r="E2013" s="6" t="n">
        <v>0.0245146073604208</v>
      </c>
      <c r="F2013" s="7" t="n">
        <v>1.30010781521205E-013</v>
      </c>
    </row>
    <row r="2014" customFormat="false" ht="15" hidden="false" customHeight="true" outlineLevel="0" collapsed="false">
      <c r="A2014" s="5" t="s">
        <v>88</v>
      </c>
      <c r="B2014" s="5" t="s">
        <v>86</v>
      </c>
      <c r="C2014" s="5" t="s">
        <v>416</v>
      </c>
      <c r="D2014" s="6" t="n">
        <v>0.180735883509838</v>
      </c>
      <c r="E2014" s="6" t="n">
        <v>0.0245175207459065</v>
      </c>
      <c r="F2014" s="7" t="n">
        <v>1.68461877184238E-013</v>
      </c>
    </row>
    <row r="2015" customFormat="false" ht="15" hidden="false" customHeight="true" outlineLevel="0" collapsed="false">
      <c r="A2015" s="5" t="s">
        <v>88</v>
      </c>
      <c r="B2015" s="5" t="s">
        <v>86</v>
      </c>
      <c r="C2015" s="5" t="s">
        <v>778</v>
      </c>
      <c r="D2015" s="6" t="n">
        <v>0.181878378167961</v>
      </c>
      <c r="E2015" s="6" t="n">
        <v>0.0245017711600301</v>
      </c>
      <c r="F2015" s="7" t="n">
        <v>1.1443570037147E-013</v>
      </c>
    </row>
    <row r="2016" customFormat="false" ht="15" hidden="false" customHeight="true" outlineLevel="0" collapsed="false">
      <c r="A2016" s="5" t="s">
        <v>88</v>
      </c>
      <c r="B2016" s="5" t="s">
        <v>86</v>
      </c>
      <c r="C2016" s="5" t="s">
        <v>417</v>
      </c>
      <c r="D2016" s="6" t="n">
        <v>0.181150663473666</v>
      </c>
      <c r="E2016" s="6" t="n">
        <v>0.0245283314206768</v>
      </c>
      <c r="F2016" s="7" t="n">
        <v>1.52036516590755E-013</v>
      </c>
    </row>
    <row r="2017" customFormat="false" ht="15" hidden="false" customHeight="true" outlineLevel="0" collapsed="false">
      <c r="A2017" s="5" t="s">
        <v>88</v>
      </c>
      <c r="B2017" s="5" t="s">
        <v>86</v>
      </c>
      <c r="C2017" s="5" t="s">
        <v>418</v>
      </c>
      <c r="D2017" s="6" t="n">
        <v>0.181456282001966</v>
      </c>
      <c r="E2017" s="6" t="n">
        <v>0.0245235949465562</v>
      </c>
      <c r="F2017" s="7" t="n">
        <v>1.36952767541464E-013</v>
      </c>
    </row>
    <row r="2018" customFormat="false" ht="15" hidden="false" customHeight="true" outlineLevel="0" collapsed="false">
      <c r="A2018" s="5" t="s">
        <v>88</v>
      </c>
      <c r="B2018" s="5" t="s">
        <v>86</v>
      </c>
      <c r="C2018" s="5" t="s">
        <v>419</v>
      </c>
      <c r="D2018" s="6" t="n">
        <v>0.179934689944187</v>
      </c>
      <c r="E2018" s="6" t="n">
        <v>0.0244925222223426</v>
      </c>
      <c r="F2018" s="7" t="n">
        <v>2.03440902896621E-013</v>
      </c>
    </row>
    <row r="2019" customFormat="false" ht="15" hidden="false" customHeight="true" outlineLevel="0" collapsed="false">
      <c r="A2019" s="5" t="s">
        <v>88</v>
      </c>
      <c r="B2019" s="5" t="s">
        <v>86</v>
      </c>
      <c r="C2019" s="5" t="s">
        <v>420</v>
      </c>
      <c r="D2019" s="6" t="n">
        <v>0.180918960529623</v>
      </c>
      <c r="E2019" s="6" t="n">
        <v>0.0245511413114315</v>
      </c>
      <c r="F2019" s="7" t="n">
        <v>1.71828643193626E-013</v>
      </c>
    </row>
    <row r="2020" customFormat="false" ht="15" hidden="false" customHeight="true" outlineLevel="0" collapsed="false">
      <c r="A2020" s="5" t="s">
        <v>88</v>
      </c>
      <c r="B2020" s="5" t="s">
        <v>86</v>
      </c>
      <c r="C2020" s="5" t="s">
        <v>421</v>
      </c>
      <c r="D2020" s="6" t="n">
        <v>0.180976530499835</v>
      </c>
      <c r="E2020" s="6" t="n">
        <v>0.024536696572428</v>
      </c>
      <c r="F2020" s="7" t="n">
        <v>1.63422886427395E-013</v>
      </c>
    </row>
    <row r="2021" customFormat="false" ht="15" hidden="false" customHeight="true" outlineLevel="0" collapsed="false">
      <c r="A2021" s="5" t="s">
        <v>88</v>
      </c>
      <c r="B2021" s="5" t="s">
        <v>86</v>
      </c>
      <c r="C2021" s="5" t="s">
        <v>422</v>
      </c>
      <c r="D2021" s="6" t="n">
        <v>0.18212282507614</v>
      </c>
      <c r="E2021" s="6" t="n">
        <v>0.0245172748621492</v>
      </c>
      <c r="F2021" s="7" t="n">
        <v>1.09963179303474E-013</v>
      </c>
    </row>
    <row r="2022" customFormat="false" ht="15" hidden="false" customHeight="true" outlineLevel="0" collapsed="false">
      <c r="A2022" s="5" t="s">
        <v>88</v>
      </c>
      <c r="B2022" s="5" t="s">
        <v>86</v>
      </c>
      <c r="C2022" s="5" t="s">
        <v>423</v>
      </c>
      <c r="D2022" s="6" t="n">
        <v>0.181695782817703</v>
      </c>
      <c r="E2022" s="6" t="n">
        <v>0.0245198749248438</v>
      </c>
      <c r="F2022" s="7" t="n">
        <v>1.26163175176548E-013</v>
      </c>
    </row>
    <row r="2023" customFormat="false" ht="15" hidden="false" customHeight="true" outlineLevel="0" collapsed="false">
      <c r="A2023" s="5" t="s">
        <v>88</v>
      </c>
      <c r="B2023" s="5" t="s">
        <v>86</v>
      </c>
      <c r="C2023" s="5" t="s">
        <v>424</v>
      </c>
      <c r="D2023" s="6" t="n">
        <v>0.182381546689886</v>
      </c>
      <c r="E2023" s="6" t="n">
        <v>0.024716227377687</v>
      </c>
      <c r="F2023" s="7" t="n">
        <v>1.59458368281322E-013</v>
      </c>
    </row>
    <row r="2024" customFormat="false" ht="15" hidden="false" customHeight="true" outlineLevel="0" collapsed="false">
      <c r="A2024" s="5" t="s">
        <v>88</v>
      </c>
      <c r="B2024" s="5" t="s">
        <v>86</v>
      </c>
      <c r="C2024" s="5" t="s">
        <v>779</v>
      </c>
      <c r="D2024" s="6" t="n">
        <v>0.179916248271656</v>
      </c>
      <c r="E2024" s="6" t="n">
        <v>0.0243562991110563</v>
      </c>
      <c r="F2024" s="7" t="n">
        <v>1.50351748340383E-013</v>
      </c>
    </row>
    <row r="2025" customFormat="false" ht="15" hidden="false" customHeight="true" outlineLevel="0" collapsed="false">
      <c r="A2025" s="5" t="s">
        <v>88</v>
      </c>
      <c r="B2025" s="5" t="s">
        <v>86</v>
      </c>
      <c r="C2025" s="5" t="s">
        <v>780</v>
      </c>
      <c r="D2025" s="6" t="n">
        <v>0.181057456521926</v>
      </c>
      <c r="E2025" s="6" t="n">
        <v>0.0245447145323401</v>
      </c>
      <c r="F2025" s="7" t="n">
        <v>1.62337475054426E-013</v>
      </c>
    </row>
    <row r="2026" customFormat="false" ht="15" hidden="false" customHeight="true" outlineLevel="0" collapsed="false">
      <c r="A2026" s="5" t="s">
        <v>88</v>
      </c>
      <c r="B2026" s="5" t="s">
        <v>86</v>
      </c>
      <c r="C2026" s="5" t="s">
        <v>426</v>
      </c>
      <c r="D2026" s="6" t="n">
        <v>0.180977396764033</v>
      </c>
      <c r="E2026" s="6" t="n">
        <v>0.0245280558165433</v>
      </c>
      <c r="F2026" s="7" t="n">
        <v>1.6022317298033E-013</v>
      </c>
    </row>
    <row r="2027" customFormat="false" ht="15" hidden="false" customHeight="true" outlineLevel="0" collapsed="false">
      <c r="A2027" s="5" t="s">
        <v>88</v>
      </c>
      <c r="B2027" s="5" t="s">
        <v>86</v>
      </c>
      <c r="C2027" s="5" t="s">
        <v>427</v>
      </c>
      <c r="D2027" s="6" t="n">
        <v>0.181753582803141</v>
      </c>
      <c r="E2027" s="6" t="n">
        <v>0.0245173582523305</v>
      </c>
      <c r="F2027" s="7" t="n">
        <v>1.23230755777657E-013</v>
      </c>
    </row>
    <row r="2028" customFormat="false" ht="15" hidden="false" customHeight="true" outlineLevel="0" collapsed="false">
      <c r="A2028" s="5" t="s">
        <v>88</v>
      </c>
      <c r="B2028" s="5" t="s">
        <v>86</v>
      </c>
      <c r="C2028" s="5" t="s">
        <v>428</v>
      </c>
      <c r="D2028" s="6" t="n">
        <v>0.181364932758852</v>
      </c>
      <c r="E2028" s="6" t="n">
        <v>0.0245307471049278</v>
      </c>
      <c r="F2028" s="7" t="n">
        <v>1.43151515537177E-013</v>
      </c>
    </row>
    <row r="2029" customFormat="false" ht="15" hidden="false" customHeight="true" outlineLevel="0" collapsed="false">
      <c r="A2029" s="5" t="s">
        <v>88</v>
      </c>
      <c r="B2029" s="5" t="s">
        <v>86</v>
      </c>
      <c r="C2029" s="5" t="s">
        <v>429</v>
      </c>
      <c r="D2029" s="6" t="n">
        <v>0.181954904487941</v>
      </c>
      <c r="E2029" s="6" t="n">
        <v>0.024516602059805</v>
      </c>
      <c r="F2029" s="7" t="n">
        <v>1.15625095046782E-013</v>
      </c>
    </row>
    <row r="2030" customFormat="false" ht="15" hidden="false" customHeight="true" outlineLevel="0" collapsed="false">
      <c r="A2030" s="5" t="s">
        <v>88</v>
      </c>
      <c r="B2030" s="5" t="s">
        <v>86</v>
      </c>
      <c r="C2030" s="5" t="s">
        <v>430</v>
      </c>
      <c r="D2030" s="6" t="n">
        <v>0.179504907051424</v>
      </c>
      <c r="E2030" s="6" t="n">
        <v>0.0245127174856677</v>
      </c>
      <c r="F2030" s="7" t="n">
        <v>2.42614905150993E-013</v>
      </c>
    </row>
    <row r="2031" customFormat="false" ht="15" hidden="false" customHeight="true" outlineLevel="0" collapsed="false">
      <c r="A2031" s="5" t="s">
        <v>88</v>
      </c>
      <c r="B2031" s="5" t="s">
        <v>86</v>
      </c>
      <c r="C2031" s="5" t="s">
        <v>431</v>
      </c>
      <c r="D2031" s="6" t="n">
        <v>0.18164449934842</v>
      </c>
      <c r="E2031" s="6" t="n">
        <v>0.0245452605744403</v>
      </c>
      <c r="F2031" s="7" t="n">
        <v>1.35785174377969E-013</v>
      </c>
    </row>
    <row r="2032" customFormat="false" ht="15" hidden="false" customHeight="true" outlineLevel="0" collapsed="false">
      <c r="A2032" s="5" t="s">
        <v>88</v>
      </c>
      <c r="B2032" s="5" t="s">
        <v>86</v>
      </c>
      <c r="C2032" s="5" t="s">
        <v>432</v>
      </c>
      <c r="D2032" s="6" t="n">
        <v>0.182285297340742</v>
      </c>
      <c r="E2032" s="6" t="n">
        <v>0.0245297498728439</v>
      </c>
      <c r="F2032" s="7" t="n">
        <v>1.0762281528678E-013</v>
      </c>
    </row>
    <row r="2033" customFormat="false" ht="15" hidden="false" customHeight="true" outlineLevel="0" collapsed="false">
      <c r="A2033" s="5" t="s">
        <v>88</v>
      </c>
      <c r="B2033" s="5" t="s">
        <v>86</v>
      </c>
      <c r="C2033" s="5" t="s">
        <v>433</v>
      </c>
      <c r="D2033" s="6" t="n">
        <v>0.18301766826534</v>
      </c>
      <c r="E2033" s="6" t="n">
        <v>0.0244628448326073</v>
      </c>
      <c r="F2033" s="7" t="n">
        <v>7.35043125518123E-014</v>
      </c>
    </row>
    <row r="2034" customFormat="false" ht="15" hidden="false" customHeight="true" outlineLevel="0" collapsed="false">
      <c r="A2034" s="5" t="s">
        <v>88</v>
      </c>
      <c r="B2034" s="5" t="s">
        <v>86</v>
      </c>
      <c r="C2034" s="5" t="s">
        <v>434</v>
      </c>
      <c r="D2034" s="6" t="n">
        <v>0.181752669084238</v>
      </c>
      <c r="E2034" s="6" t="n">
        <v>0.0245302869528881</v>
      </c>
      <c r="F2034" s="7" t="n">
        <v>1.26951641173734E-013</v>
      </c>
    </row>
    <row r="2035" customFormat="false" ht="15" hidden="false" customHeight="true" outlineLevel="0" collapsed="false">
      <c r="A2035" s="5" t="s">
        <v>88</v>
      </c>
      <c r="B2035" s="5" t="s">
        <v>86</v>
      </c>
      <c r="C2035" s="5" t="s">
        <v>435</v>
      </c>
      <c r="D2035" s="6" t="n">
        <v>0.182583426257373</v>
      </c>
      <c r="E2035" s="6" t="n">
        <v>0.024416902866226</v>
      </c>
      <c r="F2035" s="7" t="n">
        <v>7.56074773231536E-014</v>
      </c>
    </row>
    <row r="2036" customFormat="false" ht="15" hidden="false" customHeight="true" outlineLevel="0" collapsed="false">
      <c r="A2036" s="5" t="s">
        <v>88</v>
      </c>
      <c r="B2036" s="5" t="s">
        <v>86</v>
      </c>
      <c r="C2036" s="5" t="s">
        <v>436</v>
      </c>
      <c r="D2036" s="6" t="n">
        <v>0.183966661639483</v>
      </c>
      <c r="E2036" s="6" t="n">
        <v>0.02438160225304</v>
      </c>
      <c r="F2036" s="7" t="n">
        <v>4.51225062615421E-014</v>
      </c>
    </row>
    <row r="2037" customFormat="false" ht="15" hidden="false" customHeight="true" outlineLevel="0" collapsed="false">
      <c r="A2037" s="5" t="s">
        <v>88</v>
      </c>
      <c r="B2037" s="5" t="s">
        <v>86</v>
      </c>
      <c r="C2037" s="5" t="s">
        <v>437</v>
      </c>
      <c r="D2037" s="6" t="n">
        <v>0.18209227427376</v>
      </c>
      <c r="E2037" s="6" t="n">
        <v>0.0245170953320888</v>
      </c>
      <c r="F2037" s="7" t="n">
        <v>1.10958068477163E-013</v>
      </c>
    </row>
    <row r="2038" customFormat="false" ht="15" hidden="false" customHeight="true" outlineLevel="0" collapsed="false">
      <c r="A2038" s="5" t="s">
        <v>88</v>
      </c>
      <c r="B2038" s="5" t="s">
        <v>86</v>
      </c>
      <c r="C2038" s="5" t="s">
        <v>438</v>
      </c>
      <c r="D2038" s="6" t="n">
        <v>0.181537056004605</v>
      </c>
      <c r="E2038" s="6" t="n">
        <v>0.024526825259681</v>
      </c>
      <c r="F2038" s="7" t="n">
        <v>1.34581966350658E-013</v>
      </c>
    </row>
    <row r="2039" customFormat="false" ht="15" hidden="false" customHeight="true" outlineLevel="0" collapsed="false">
      <c r="A2039" s="5" t="s">
        <v>88</v>
      </c>
      <c r="B2039" s="5" t="s">
        <v>86</v>
      </c>
      <c r="C2039" s="5" t="s">
        <v>439</v>
      </c>
      <c r="D2039" s="6" t="n">
        <v>0.180847720769541</v>
      </c>
      <c r="E2039" s="6" t="n">
        <v>0.0245180388025867</v>
      </c>
      <c r="F2039" s="7" t="n">
        <v>1.62982890585834E-013</v>
      </c>
    </row>
    <row r="2040" customFormat="false" ht="15" hidden="false" customHeight="true" outlineLevel="0" collapsed="false">
      <c r="A2040" s="5" t="s">
        <v>88</v>
      </c>
      <c r="B2040" s="5" t="s">
        <v>86</v>
      </c>
      <c r="C2040" s="5" t="s">
        <v>440</v>
      </c>
      <c r="D2040" s="6" t="n">
        <v>0.181147443800899</v>
      </c>
      <c r="E2040" s="6" t="n">
        <v>0.0245187672612193</v>
      </c>
      <c r="F2040" s="7" t="n">
        <v>1.48926213527778E-013</v>
      </c>
    </row>
    <row r="2041" customFormat="false" ht="15" hidden="false" customHeight="true" outlineLevel="0" collapsed="false">
      <c r="A2041" s="5" t="s">
        <v>88</v>
      </c>
      <c r="B2041" s="5" t="s">
        <v>86</v>
      </c>
      <c r="C2041" s="5" t="s">
        <v>441</v>
      </c>
      <c r="D2041" s="6" t="n">
        <v>0.182723296443361</v>
      </c>
      <c r="E2041" s="6" t="n">
        <v>0.0245327587008075</v>
      </c>
      <c r="F2041" s="7" t="n">
        <v>9.46689910617261E-014</v>
      </c>
    </row>
    <row r="2042" customFormat="false" ht="15" hidden="false" customHeight="true" outlineLevel="0" collapsed="false">
      <c r="A2042" s="5" t="s">
        <v>88</v>
      </c>
      <c r="B2042" s="5" t="s">
        <v>86</v>
      </c>
      <c r="C2042" s="5" t="s">
        <v>442</v>
      </c>
      <c r="D2042" s="6" t="n">
        <v>0.180775657461274</v>
      </c>
      <c r="E2042" s="6" t="n">
        <v>0.0245262343247787</v>
      </c>
      <c r="F2042" s="7" t="n">
        <v>1.69727037516367E-013</v>
      </c>
    </row>
    <row r="2043" customFormat="false" ht="15" hidden="false" customHeight="true" outlineLevel="0" collapsed="false">
      <c r="A2043" s="5" t="s">
        <v>88</v>
      </c>
      <c r="B2043" s="5" t="s">
        <v>86</v>
      </c>
      <c r="C2043" s="5" t="s">
        <v>443</v>
      </c>
      <c r="D2043" s="6" t="n">
        <v>0.182921692384536</v>
      </c>
      <c r="E2043" s="6" t="n">
        <v>0.0245530836474553</v>
      </c>
      <c r="F2043" s="7" t="n">
        <v>9.33051066542056E-014</v>
      </c>
    </row>
    <row r="2044" customFormat="false" ht="15" hidden="false" customHeight="true" outlineLevel="0" collapsed="false">
      <c r="A2044" s="5" t="s">
        <v>88</v>
      </c>
      <c r="B2044" s="5" t="s">
        <v>86</v>
      </c>
      <c r="C2044" s="5" t="s">
        <v>444</v>
      </c>
      <c r="D2044" s="6" t="n">
        <v>0.178713741148328</v>
      </c>
      <c r="E2044" s="6" t="n">
        <v>0.0244685896843606</v>
      </c>
      <c r="F2044" s="7" t="n">
        <v>2.79747375854194E-013</v>
      </c>
    </row>
    <row r="2045" customFormat="false" ht="15" hidden="false" customHeight="true" outlineLevel="0" collapsed="false">
      <c r="A2045" s="5" t="s">
        <v>88</v>
      </c>
      <c r="B2045" s="5" t="s">
        <v>86</v>
      </c>
      <c r="C2045" s="5" t="s">
        <v>445</v>
      </c>
      <c r="D2045" s="6" t="n">
        <v>0.181060602252854</v>
      </c>
      <c r="E2045" s="6" t="n">
        <v>0.0245363856833621</v>
      </c>
      <c r="F2045" s="7" t="n">
        <v>1.59160382879561E-013</v>
      </c>
    </row>
    <row r="2046" customFormat="false" ht="15" hidden="false" customHeight="true" outlineLevel="0" collapsed="false">
      <c r="A2046" s="5" t="s">
        <v>88</v>
      </c>
      <c r="B2046" s="5" t="s">
        <v>86</v>
      </c>
      <c r="C2046" s="5" t="s">
        <v>446</v>
      </c>
      <c r="D2046" s="6" t="n">
        <v>0.180002260778573</v>
      </c>
      <c r="E2046" s="6" t="n">
        <v>0.0245021904265588</v>
      </c>
      <c r="F2046" s="7" t="n">
        <v>2.03655644066198E-013</v>
      </c>
    </row>
    <row r="2047" customFormat="false" ht="15" hidden="false" customHeight="true" outlineLevel="0" collapsed="false">
      <c r="A2047" s="5" t="s">
        <v>88</v>
      </c>
      <c r="B2047" s="5" t="s">
        <v>86</v>
      </c>
      <c r="C2047" s="5" t="s">
        <v>447</v>
      </c>
      <c r="D2047" s="6" t="n">
        <v>0.182503732594146</v>
      </c>
      <c r="E2047" s="6" t="n">
        <v>0.0245232234288571</v>
      </c>
      <c r="F2047" s="7" t="n">
        <v>9.91139426140037E-014</v>
      </c>
    </row>
    <row r="2048" customFormat="false" ht="15" hidden="false" customHeight="true" outlineLevel="0" collapsed="false">
      <c r="A2048" s="5" t="s">
        <v>88</v>
      </c>
      <c r="B2048" s="5" t="s">
        <v>86</v>
      </c>
      <c r="C2048" s="5" t="s">
        <v>448</v>
      </c>
      <c r="D2048" s="6" t="n">
        <v>0.182322359305583</v>
      </c>
      <c r="E2048" s="6" t="n">
        <v>0.0245075092891178</v>
      </c>
      <c r="F2048" s="7" t="n">
        <v>1.01106316931969E-013</v>
      </c>
    </row>
    <row r="2049" customFormat="false" ht="15" hidden="false" customHeight="true" outlineLevel="0" collapsed="false">
      <c r="A2049" s="5" t="s">
        <v>88</v>
      </c>
      <c r="B2049" s="5" t="s">
        <v>86</v>
      </c>
      <c r="C2049" s="5" t="s">
        <v>449</v>
      </c>
      <c r="D2049" s="6" t="n">
        <v>0.180670545301404</v>
      </c>
      <c r="E2049" s="6" t="n">
        <v>0.0245322013797248</v>
      </c>
      <c r="F2049" s="7" t="n">
        <v>1.77641092276985E-013</v>
      </c>
    </row>
    <row r="2050" customFormat="false" ht="15" hidden="false" customHeight="true" outlineLevel="0" collapsed="false">
      <c r="A2050" s="5" t="s">
        <v>88</v>
      </c>
      <c r="B2050" s="5" t="s">
        <v>86</v>
      </c>
      <c r="C2050" s="5" t="s">
        <v>451</v>
      </c>
      <c r="D2050" s="6" t="n">
        <v>0.179684312773929</v>
      </c>
      <c r="E2050" s="6" t="n">
        <v>0.0244121967756518</v>
      </c>
      <c r="F2050" s="7" t="n">
        <v>1.83316087055269E-013</v>
      </c>
    </row>
    <row r="2051" customFormat="false" ht="15" hidden="false" customHeight="true" outlineLevel="0" collapsed="false">
      <c r="A2051" s="5" t="s">
        <v>88</v>
      </c>
      <c r="B2051" s="5" t="s">
        <v>86</v>
      </c>
      <c r="C2051" s="5" t="s">
        <v>452</v>
      </c>
      <c r="D2051" s="6" t="n">
        <v>0.18063019539435</v>
      </c>
      <c r="E2051" s="6" t="n">
        <v>0.0245083984126101</v>
      </c>
      <c r="F2051" s="7" t="n">
        <v>1.70455834316778E-013</v>
      </c>
    </row>
    <row r="2052" customFormat="false" ht="15" hidden="false" customHeight="true" outlineLevel="0" collapsed="false">
      <c r="A2052" s="5" t="s">
        <v>88</v>
      </c>
      <c r="B2052" s="5" t="s">
        <v>86</v>
      </c>
      <c r="C2052" s="5" t="s">
        <v>453</v>
      </c>
      <c r="D2052" s="6" t="n">
        <v>0.180790881006963</v>
      </c>
      <c r="E2052" s="6" t="n">
        <v>0.0245293721215037</v>
      </c>
      <c r="F2052" s="7" t="n">
        <v>1.70137813393745E-013</v>
      </c>
    </row>
    <row r="2053" customFormat="false" ht="15" hidden="false" customHeight="true" outlineLevel="0" collapsed="false">
      <c r="A2053" s="5" t="s">
        <v>88</v>
      </c>
      <c r="B2053" s="5" t="s">
        <v>86</v>
      </c>
      <c r="C2053" s="5" t="s">
        <v>454</v>
      </c>
      <c r="D2053" s="6" t="n">
        <v>0.182135746919817</v>
      </c>
      <c r="E2053" s="6" t="n">
        <v>0.0244866040894717</v>
      </c>
      <c r="F2053" s="7" t="n">
        <v>1.02082594999498E-013</v>
      </c>
    </row>
    <row r="2054" customFormat="false" ht="15" hidden="false" customHeight="true" outlineLevel="0" collapsed="false">
      <c r="A2054" s="5" t="s">
        <v>88</v>
      </c>
      <c r="B2054" s="5" t="s">
        <v>86</v>
      </c>
      <c r="C2054" s="5" t="s">
        <v>455</v>
      </c>
      <c r="D2054" s="6" t="n">
        <v>0.181634506871529</v>
      </c>
      <c r="E2054" s="6" t="n">
        <v>0.0245162873129</v>
      </c>
      <c r="F2054" s="7" t="n">
        <v>1.27516433606582E-013</v>
      </c>
    </row>
    <row r="2055" customFormat="false" ht="15" hidden="false" customHeight="true" outlineLevel="0" collapsed="false">
      <c r="A2055" s="5" t="s">
        <v>88</v>
      </c>
      <c r="B2055" s="5" t="s">
        <v>86</v>
      </c>
      <c r="C2055" s="5" t="s">
        <v>456</v>
      </c>
      <c r="D2055" s="6" t="n">
        <v>0.180987242816198</v>
      </c>
      <c r="E2055" s="6" t="n">
        <v>0.0245201754078094</v>
      </c>
      <c r="F2055" s="7" t="n">
        <v>1.56920865117285E-013</v>
      </c>
    </row>
    <row r="2056" customFormat="false" ht="15" hidden="false" customHeight="true" outlineLevel="0" collapsed="false">
      <c r="A2056" s="5" t="s">
        <v>88</v>
      </c>
      <c r="B2056" s="5" t="s">
        <v>86</v>
      </c>
      <c r="C2056" s="5" t="s">
        <v>457</v>
      </c>
      <c r="D2056" s="6" t="n">
        <v>0.181397778742686</v>
      </c>
      <c r="E2056" s="6" t="n">
        <v>0.0245259139953598</v>
      </c>
      <c r="F2056" s="7" t="n">
        <v>1.40170714060015E-013</v>
      </c>
    </row>
    <row r="2057" customFormat="false" ht="15" hidden="false" customHeight="true" outlineLevel="0" collapsed="false">
      <c r="A2057" s="5" t="s">
        <v>88</v>
      </c>
      <c r="B2057" s="5" t="s">
        <v>86</v>
      </c>
      <c r="C2057" s="5" t="s">
        <v>458</v>
      </c>
      <c r="D2057" s="6" t="n">
        <v>0.181722419088065</v>
      </c>
      <c r="E2057" s="6" t="n">
        <v>0.0245184716948655</v>
      </c>
      <c r="F2057" s="7" t="n">
        <v>1.24734213402138E-013</v>
      </c>
    </row>
    <row r="2058" customFormat="false" ht="15" hidden="false" customHeight="true" outlineLevel="0" collapsed="false">
      <c r="A2058" s="5" t="s">
        <v>88</v>
      </c>
      <c r="B2058" s="5" t="s">
        <v>86</v>
      </c>
      <c r="C2058" s="5" t="s">
        <v>459</v>
      </c>
      <c r="D2058" s="6" t="n">
        <v>0.181398609753361</v>
      </c>
      <c r="E2058" s="6" t="n">
        <v>0.0245266088125206</v>
      </c>
      <c r="F2058" s="7" t="n">
        <v>1.40356147060432E-013</v>
      </c>
    </row>
    <row r="2059" customFormat="false" ht="15" hidden="false" customHeight="true" outlineLevel="0" collapsed="false">
      <c r="A2059" s="5" t="s">
        <v>88</v>
      </c>
      <c r="B2059" s="5" t="s">
        <v>86</v>
      </c>
      <c r="C2059" s="5" t="s">
        <v>460</v>
      </c>
      <c r="D2059" s="6" t="n">
        <v>0.180512753488697</v>
      </c>
      <c r="E2059" s="6" t="n">
        <v>0.0245113685785402</v>
      </c>
      <c r="F2059" s="7" t="n">
        <v>1.77878426708719E-013</v>
      </c>
    </row>
    <row r="2060" customFormat="false" ht="15" hidden="false" customHeight="true" outlineLevel="0" collapsed="false">
      <c r="A2060" s="5" t="s">
        <v>88</v>
      </c>
      <c r="B2060" s="5" t="s">
        <v>86</v>
      </c>
      <c r="C2060" s="5" t="s">
        <v>461</v>
      </c>
      <c r="D2060" s="6" t="n">
        <v>0.180791106947831</v>
      </c>
      <c r="E2060" s="6" t="n">
        <v>0.0245614935357546</v>
      </c>
      <c r="F2060" s="7" t="n">
        <v>1.82874575343605E-013</v>
      </c>
    </row>
    <row r="2061" customFormat="false" ht="15" hidden="false" customHeight="true" outlineLevel="0" collapsed="false">
      <c r="A2061" s="5" t="s">
        <v>88</v>
      </c>
      <c r="B2061" s="5" t="s">
        <v>86</v>
      </c>
      <c r="C2061" s="5" t="s">
        <v>462</v>
      </c>
      <c r="D2061" s="6" t="n">
        <v>0.181763184630971</v>
      </c>
      <c r="E2061" s="6" t="n">
        <v>0.0245159621300943</v>
      </c>
      <c r="F2061" s="7" t="n">
        <v>1.22476496850759E-013</v>
      </c>
    </row>
    <row r="2062" customFormat="false" ht="15" hidden="false" customHeight="true" outlineLevel="0" collapsed="false">
      <c r="A2062" s="5" t="s">
        <v>88</v>
      </c>
      <c r="B2062" s="5" t="s">
        <v>86</v>
      </c>
      <c r="C2062" s="5" t="s">
        <v>463</v>
      </c>
      <c r="D2062" s="6" t="n">
        <v>0.181850462865164</v>
      </c>
      <c r="E2062" s="6" t="n">
        <v>0.0245179312372202</v>
      </c>
      <c r="F2062" s="7" t="n">
        <v>1.19767294708211E-013</v>
      </c>
    </row>
    <row r="2063" customFormat="false" ht="15" hidden="false" customHeight="true" outlineLevel="0" collapsed="false">
      <c r="A2063" s="5" t="s">
        <v>88</v>
      </c>
      <c r="B2063" s="5" t="s">
        <v>86</v>
      </c>
      <c r="C2063" s="5" t="s">
        <v>464</v>
      </c>
      <c r="D2063" s="6" t="n">
        <v>0.1821516143348</v>
      </c>
      <c r="E2063" s="6" t="n">
        <v>0.0246015262124381</v>
      </c>
      <c r="F2063" s="7" t="n">
        <v>1.32064975286052E-013</v>
      </c>
    </row>
    <row r="2064" customFormat="false" ht="15" hidden="false" customHeight="true" outlineLevel="0" collapsed="false">
      <c r="A2064" s="5" t="s">
        <v>88</v>
      </c>
      <c r="B2064" s="5" t="s">
        <v>86</v>
      </c>
      <c r="C2064" s="5" t="s">
        <v>465</v>
      </c>
      <c r="D2064" s="6" t="n">
        <v>0.180612211048905</v>
      </c>
      <c r="E2064" s="6" t="n">
        <v>0.02452180240291</v>
      </c>
      <c r="F2064" s="7" t="n">
        <v>1.7665278675905E-013</v>
      </c>
    </row>
    <row r="2065" customFormat="false" ht="15" hidden="false" customHeight="true" outlineLevel="0" collapsed="false">
      <c r="A2065" s="5" t="s">
        <v>88</v>
      </c>
      <c r="B2065" s="5" t="s">
        <v>86</v>
      </c>
      <c r="C2065" s="5" t="s">
        <v>466</v>
      </c>
      <c r="D2065" s="6" t="n">
        <v>0.18237962142702</v>
      </c>
      <c r="E2065" s="6" t="n">
        <v>0.0245049267971783</v>
      </c>
      <c r="F2065" s="7" t="n">
        <v>9.87454575839098E-014</v>
      </c>
    </row>
    <row r="2066" customFormat="false" ht="15" hidden="false" customHeight="true" outlineLevel="0" collapsed="false">
      <c r="A2066" s="5" t="s">
        <v>88</v>
      </c>
      <c r="B2066" s="5" t="s">
        <v>86</v>
      </c>
      <c r="C2066" s="5" t="s">
        <v>467</v>
      </c>
      <c r="D2066" s="6" t="n">
        <v>0.179917216431366</v>
      </c>
      <c r="E2066" s="6" t="n">
        <v>0.0244025280784688</v>
      </c>
      <c r="F2066" s="7" t="n">
        <v>1.66965111224329E-013</v>
      </c>
    </row>
    <row r="2067" customFormat="false" ht="15" hidden="false" customHeight="true" outlineLevel="0" collapsed="false">
      <c r="A2067" s="5" t="s">
        <v>88</v>
      </c>
      <c r="B2067" s="5" t="s">
        <v>86</v>
      </c>
      <c r="C2067" s="5" t="s">
        <v>468</v>
      </c>
      <c r="D2067" s="6" t="n">
        <v>0.181529856608141</v>
      </c>
      <c r="E2067" s="6" t="n">
        <v>0.0245278082569217</v>
      </c>
      <c r="F2067" s="7" t="n">
        <v>1.35181505806123E-013</v>
      </c>
    </row>
    <row r="2068" customFormat="false" ht="15" hidden="false" customHeight="true" outlineLevel="0" collapsed="false">
      <c r="A2068" s="5" t="s">
        <v>88</v>
      </c>
      <c r="B2068" s="5" t="s">
        <v>86</v>
      </c>
      <c r="C2068" s="5" t="s">
        <v>469</v>
      </c>
      <c r="D2068" s="6" t="n">
        <v>0.182508290912874</v>
      </c>
      <c r="E2068" s="6" t="n">
        <v>0.0244876294500741</v>
      </c>
      <c r="F2068" s="7" t="n">
        <v>9.11851153067995E-014</v>
      </c>
    </row>
    <row r="2069" customFormat="false" ht="15" hidden="false" customHeight="true" outlineLevel="0" collapsed="false">
      <c r="A2069" s="5" t="s">
        <v>88</v>
      </c>
      <c r="B2069" s="5" t="s">
        <v>86</v>
      </c>
      <c r="C2069" s="5" t="s">
        <v>470</v>
      </c>
      <c r="D2069" s="6" t="n">
        <v>0.180430607062975</v>
      </c>
      <c r="E2069" s="6" t="n">
        <v>0.0245088939114381</v>
      </c>
      <c r="F2069" s="7" t="n">
        <v>1.81389457149408E-013</v>
      </c>
    </row>
    <row r="2070" customFormat="false" ht="15" hidden="false" customHeight="true" outlineLevel="0" collapsed="false">
      <c r="A2070" s="5" t="s">
        <v>88</v>
      </c>
      <c r="B2070" s="5" t="s">
        <v>86</v>
      </c>
      <c r="C2070" s="5" t="s">
        <v>471</v>
      </c>
      <c r="D2070" s="6" t="n">
        <v>0.180529422492061</v>
      </c>
      <c r="E2070" s="6" t="n">
        <v>0.0245061352210958</v>
      </c>
      <c r="F2070" s="7" t="n">
        <v>1.74899395048471E-013</v>
      </c>
    </row>
    <row r="2071" customFormat="false" ht="15" hidden="false" customHeight="true" outlineLevel="0" collapsed="false">
      <c r="A2071" s="5" t="s">
        <v>88</v>
      </c>
      <c r="B2071" s="5" t="s">
        <v>86</v>
      </c>
      <c r="C2071" s="5" t="s">
        <v>472</v>
      </c>
      <c r="D2071" s="6" t="n">
        <v>0.181360710659431</v>
      </c>
      <c r="E2071" s="6" t="n">
        <v>0.0245411463795951</v>
      </c>
      <c r="F2071" s="7" t="n">
        <v>1.46755086622536E-013</v>
      </c>
    </row>
    <row r="2072" customFormat="false" ht="15" hidden="false" customHeight="true" outlineLevel="0" collapsed="false">
      <c r="A2072" s="5" t="s">
        <v>88</v>
      </c>
      <c r="B2072" s="5" t="s">
        <v>86</v>
      </c>
      <c r="C2072" s="5" t="s">
        <v>473</v>
      </c>
      <c r="D2072" s="6" t="n">
        <v>0.181423300854049</v>
      </c>
      <c r="E2072" s="6" t="n">
        <v>0.0245325229474487</v>
      </c>
      <c r="F2072" s="7" t="n">
        <v>1.41178823951469E-013</v>
      </c>
    </row>
    <row r="2073" customFormat="false" ht="15" hidden="false" customHeight="true" outlineLevel="0" collapsed="false">
      <c r="A2073" s="5" t="s">
        <v>88</v>
      </c>
      <c r="B2073" s="5" t="s">
        <v>86</v>
      </c>
      <c r="C2073" s="5" t="s">
        <v>474</v>
      </c>
      <c r="D2073" s="6" t="n">
        <v>0.179820973548609</v>
      </c>
      <c r="E2073" s="6" t="n">
        <v>0.0245136613468379</v>
      </c>
      <c r="F2073" s="7" t="n">
        <v>2.20827240873603E-013</v>
      </c>
    </row>
    <row r="2074" customFormat="false" ht="15" hidden="false" customHeight="true" outlineLevel="0" collapsed="false">
      <c r="A2074" s="5" t="s">
        <v>88</v>
      </c>
      <c r="B2074" s="5" t="s">
        <v>86</v>
      </c>
      <c r="C2074" s="5" t="s">
        <v>475</v>
      </c>
      <c r="D2074" s="6" t="n">
        <v>0.1817297996035</v>
      </c>
      <c r="E2074" s="6" t="n">
        <v>0.0245792816173972</v>
      </c>
      <c r="F2074" s="7" t="n">
        <v>1.42887377878423E-013</v>
      </c>
    </row>
    <row r="2075" customFormat="false" ht="15" hidden="false" customHeight="true" outlineLevel="0" collapsed="false">
      <c r="A2075" s="5" t="s">
        <v>88</v>
      </c>
      <c r="B2075" s="5" t="s">
        <v>86</v>
      </c>
      <c r="C2075" s="5" t="s">
        <v>476</v>
      </c>
      <c r="D2075" s="6" t="n">
        <v>0.181307672911709</v>
      </c>
      <c r="E2075" s="6" t="n">
        <v>0.0245246447829054</v>
      </c>
      <c r="F2075" s="7" t="n">
        <v>1.43685799010813E-013</v>
      </c>
    </row>
    <row r="2076" customFormat="false" ht="15" hidden="false" customHeight="true" outlineLevel="0" collapsed="false">
      <c r="A2076" s="5" t="s">
        <v>88</v>
      </c>
      <c r="B2076" s="5" t="s">
        <v>86</v>
      </c>
      <c r="C2076" s="5" t="s">
        <v>477</v>
      </c>
      <c r="D2076" s="6" t="n">
        <v>0.182302343768729</v>
      </c>
      <c r="E2076" s="6" t="n">
        <v>0.0244651993601249</v>
      </c>
      <c r="F2076" s="7" t="n">
        <v>9.22874453166155E-014</v>
      </c>
    </row>
    <row r="2077" customFormat="false" ht="15" hidden="false" customHeight="true" outlineLevel="0" collapsed="false">
      <c r="A2077" s="5" t="s">
        <v>88</v>
      </c>
      <c r="B2077" s="5" t="s">
        <v>86</v>
      </c>
      <c r="C2077" s="5" t="s">
        <v>478</v>
      </c>
      <c r="D2077" s="6" t="n">
        <v>0.181667393043605</v>
      </c>
      <c r="E2077" s="6" t="n">
        <v>0.0245081134202514</v>
      </c>
      <c r="F2077" s="7" t="n">
        <v>1.23902227955832E-013</v>
      </c>
    </row>
    <row r="2078" customFormat="false" ht="15" hidden="false" customHeight="true" outlineLevel="0" collapsed="false">
      <c r="A2078" s="5" t="s">
        <v>88</v>
      </c>
      <c r="B2078" s="5" t="s">
        <v>86</v>
      </c>
      <c r="C2078" s="5" t="s">
        <v>479</v>
      </c>
      <c r="D2078" s="6" t="n">
        <v>0.181456703116574</v>
      </c>
      <c r="E2078" s="6" t="n">
        <v>0.0245193799576081</v>
      </c>
      <c r="F2078" s="7" t="n">
        <v>1.35629682306415E-013</v>
      </c>
    </row>
    <row r="2079" customFormat="false" ht="15" hidden="false" customHeight="true" outlineLevel="0" collapsed="false">
      <c r="A2079" s="5" t="s">
        <v>88</v>
      </c>
      <c r="B2079" s="5" t="s">
        <v>86</v>
      </c>
      <c r="C2079" s="5" t="s">
        <v>480</v>
      </c>
      <c r="D2079" s="6" t="n">
        <v>0.181497016019888</v>
      </c>
      <c r="E2079" s="6" t="n">
        <v>0.024530660437762</v>
      </c>
      <c r="F2079" s="7" t="n">
        <v>1.37438963961202E-013</v>
      </c>
    </row>
    <row r="2080" customFormat="false" ht="15" hidden="false" customHeight="true" outlineLevel="0" collapsed="false">
      <c r="A2080" s="5" t="s">
        <v>88</v>
      </c>
      <c r="B2080" s="5" t="s">
        <v>86</v>
      </c>
      <c r="C2080" s="5" t="s">
        <v>481</v>
      </c>
      <c r="D2080" s="6" t="n">
        <v>0.181918854818676</v>
      </c>
      <c r="E2080" s="6" t="n">
        <v>0.024511082801545</v>
      </c>
      <c r="F2080" s="7" t="n">
        <v>1.15450215773351E-013</v>
      </c>
    </row>
    <row r="2081" customFormat="false" ht="15" hidden="false" customHeight="true" outlineLevel="0" collapsed="false">
      <c r="A2081" s="5" t="s">
        <v>88</v>
      </c>
      <c r="B2081" s="5" t="s">
        <v>86</v>
      </c>
      <c r="C2081" s="5" t="s">
        <v>482</v>
      </c>
      <c r="D2081" s="6" t="n">
        <v>0.18180906297624</v>
      </c>
      <c r="E2081" s="6" t="n">
        <v>0.0245207064352871</v>
      </c>
      <c r="F2081" s="7" t="n">
        <v>1.22073799656041E-013</v>
      </c>
    </row>
    <row r="2082" customFormat="false" ht="15" hidden="false" customHeight="true" outlineLevel="0" collapsed="false">
      <c r="A2082" s="5" t="s">
        <v>88</v>
      </c>
      <c r="B2082" s="5" t="s">
        <v>86</v>
      </c>
      <c r="C2082" s="5" t="s">
        <v>483</v>
      </c>
      <c r="D2082" s="6" t="n">
        <v>0.182043105759584</v>
      </c>
      <c r="E2082" s="6" t="n">
        <v>0.0244939016294732</v>
      </c>
      <c r="F2082" s="7" t="n">
        <v>1.06821638629735E-013</v>
      </c>
    </row>
    <row r="2083" customFormat="false" ht="15" hidden="false" customHeight="true" outlineLevel="0" collapsed="false">
      <c r="A2083" s="5" t="s">
        <v>88</v>
      </c>
      <c r="B2083" s="5" t="s">
        <v>86</v>
      </c>
      <c r="C2083" s="5" t="s">
        <v>484</v>
      </c>
      <c r="D2083" s="6" t="n">
        <v>0.181869544499746</v>
      </c>
      <c r="E2083" s="6" t="n">
        <v>0.0245109166184791</v>
      </c>
      <c r="F2083" s="7" t="n">
        <v>1.17172903606612E-013</v>
      </c>
    </row>
    <row r="2084" customFormat="false" ht="15" hidden="false" customHeight="true" outlineLevel="0" collapsed="false">
      <c r="A2084" s="5" t="s">
        <v>88</v>
      </c>
      <c r="B2084" s="5" t="s">
        <v>86</v>
      </c>
      <c r="C2084" s="5" t="s">
        <v>485</v>
      </c>
      <c r="D2084" s="6" t="n">
        <v>0.180573056616058</v>
      </c>
      <c r="E2084" s="6" t="n">
        <v>0.0245177451608839</v>
      </c>
      <c r="F2084" s="7" t="n">
        <v>1.77154260581084E-013</v>
      </c>
    </row>
    <row r="2085" customFormat="false" ht="15" hidden="false" customHeight="true" outlineLevel="0" collapsed="false">
      <c r="A2085" s="5" t="s">
        <v>88</v>
      </c>
      <c r="B2085" s="5" t="s">
        <v>86</v>
      </c>
      <c r="C2085" s="5" t="s">
        <v>781</v>
      </c>
      <c r="D2085" s="6" t="n">
        <v>0.181189690212496</v>
      </c>
      <c r="E2085" s="6" t="n">
        <v>0.0245208502670282</v>
      </c>
      <c r="F2085" s="7" t="n">
        <v>1.47704721308536E-013</v>
      </c>
    </row>
    <row r="2086" customFormat="false" ht="15" hidden="false" customHeight="true" outlineLevel="0" collapsed="false">
      <c r="A2086" s="5" t="s">
        <v>88</v>
      </c>
      <c r="B2086" s="5" t="s">
        <v>86</v>
      </c>
      <c r="C2086" s="5" t="s">
        <v>486</v>
      </c>
      <c r="D2086" s="6" t="n">
        <v>0.179391922493166</v>
      </c>
      <c r="E2086" s="6" t="n">
        <v>0.0245206727127842</v>
      </c>
      <c r="F2086" s="7" t="n">
        <v>2.55574039282141E-013</v>
      </c>
    </row>
    <row r="2087" customFormat="false" ht="15" hidden="false" customHeight="true" outlineLevel="0" collapsed="false">
      <c r="A2087" s="5" t="s">
        <v>88</v>
      </c>
      <c r="B2087" s="5" t="s">
        <v>86</v>
      </c>
      <c r="C2087" s="5" t="s">
        <v>200</v>
      </c>
      <c r="D2087" s="6" t="n">
        <v>0.177770692206303</v>
      </c>
      <c r="E2087" s="6" t="n">
        <v>0.0251407579145067</v>
      </c>
      <c r="F2087" s="7" t="n">
        <v>1.53803810825438E-012</v>
      </c>
    </row>
    <row r="2088" customFormat="false" ht="15" hidden="false" customHeight="true" outlineLevel="0" collapsed="false">
      <c r="A2088" s="5" t="s">
        <v>88</v>
      </c>
      <c r="B2088" s="5" t="s">
        <v>86</v>
      </c>
      <c r="C2088" s="5" t="s">
        <v>487</v>
      </c>
      <c r="D2088" s="6" t="n">
        <v>0.179980566144359</v>
      </c>
      <c r="E2088" s="6" t="n">
        <v>0.0244670964855671</v>
      </c>
      <c r="F2088" s="7" t="n">
        <v>1.89467968412285E-013</v>
      </c>
    </row>
    <row r="2089" customFormat="false" ht="15" hidden="false" customHeight="true" outlineLevel="0" collapsed="false">
      <c r="A2089" s="5" t="s">
        <v>88</v>
      </c>
      <c r="B2089" s="5" t="s">
        <v>86</v>
      </c>
      <c r="C2089" s="5" t="s">
        <v>782</v>
      </c>
      <c r="D2089" s="6" t="n">
        <v>0.181897292188608</v>
      </c>
      <c r="E2089" s="6" t="n">
        <v>0.0245069330623565</v>
      </c>
      <c r="F2089" s="7" t="n">
        <v>1.15122069232032E-013</v>
      </c>
    </row>
    <row r="2090" customFormat="false" ht="15" hidden="false" customHeight="true" outlineLevel="0" collapsed="false">
      <c r="A2090" s="5" t="s">
        <v>88</v>
      </c>
      <c r="B2090" s="5" t="s">
        <v>86</v>
      </c>
      <c r="C2090" s="5" t="s">
        <v>488</v>
      </c>
      <c r="D2090" s="6" t="n">
        <v>0.186602148408541</v>
      </c>
      <c r="E2090" s="6" t="n">
        <v>0.0244829372136585</v>
      </c>
      <c r="F2090" s="7" t="n">
        <v>2.50313107448146E-014</v>
      </c>
    </row>
    <row r="2091" customFormat="false" ht="15" hidden="false" customHeight="true" outlineLevel="0" collapsed="false">
      <c r="A2091" s="5" t="s">
        <v>88</v>
      </c>
      <c r="B2091" s="5" t="s">
        <v>86</v>
      </c>
      <c r="C2091" s="5" t="s">
        <v>489</v>
      </c>
      <c r="D2091" s="6" t="n">
        <v>0.182611545505382</v>
      </c>
      <c r="E2091" s="6" t="n">
        <v>0.024445321378992</v>
      </c>
      <c r="F2091" s="7" t="n">
        <v>8.00703924145931E-014</v>
      </c>
    </row>
    <row r="2092" customFormat="false" ht="15" hidden="false" customHeight="true" outlineLevel="0" collapsed="false">
      <c r="A2092" s="5" t="s">
        <v>88</v>
      </c>
      <c r="B2092" s="5" t="s">
        <v>86</v>
      </c>
      <c r="C2092" s="5" t="s">
        <v>490</v>
      </c>
      <c r="D2092" s="6" t="n">
        <v>0.182622406005413</v>
      </c>
      <c r="E2092" s="6" t="n">
        <v>0.024458281506972</v>
      </c>
      <c r="F2092" s="7" t="n">
        <v>8.22371966239397E-014</v>
      </c>
    </row>
    <row r="2093" customFormat="false" ht="15" hidden="false" customHeight="true" outlineLevel="0" collapsed="false">
      <c r="A2093" s="5" t="s">
        <v>88</v>
      </c>
      <c r="B2093" s="5" t="s">
        <v>86</v>
      </c>
      <c r="C2093" s="5" t="s">
        <v>491</v>
      </c>
      <c r="D2093" s="6" t="n">
        <v>0.181420136137399</v>
      </c>
      <c r="E2093" s="6" t="n">
        <v>0.024526069185136</v>
      </c>
      <c r="F2093" s="7" t="n">
        <v>1.39261250323551E-013</v>
      </c>
    </row>
    <row r="2094" customFormat="false" ht="15" hidden="false" customHeight="true" outlineLevel="0" collapsed="false">
      <c r="A2094" s="5" t="s">
        <v>88</v>
      </c>
      <c r="B2094" s="5" t="s">
        <v>86</v>
      </c>
      <c r="C2094" s="5" t="s">
        <v>492</v>
      </c>
      <c r="D2094" s="6" t="n">
        <v>0.180652464870455</v>
      </c>
      <c r="E2094" s="6" t="n">
        <v>0.024509768685869</v>
      </c>
      <c r="F2094" s="7" t="n">
        <v>1.69822089215094E-013</v>
      </c>
    </row>
    <row r="2095" customFormat="false" ht="15" hidden="false" customHeight="true" outlineLevel="0" collapsed="false">
      <c r="A2095" s="5" t="s">
        <v>88</v>
      </c>
      <c r="B2095" s="5" t="s">
        <v>86</v>
      </c>
      <c r="C2095" s="5" t="s">
        <v>493</v>
      </c>
      <c r="D2095" s="6" t="n">
        <v>0.180910626641429</v>
      </c>
      <c r="E2095" s="6" t="n">
        <v>0.0245172334048494</v>
      </c>
      <c r="F2095" s="7" t="n">
        <v>1.59582453729895E-013</v>
      </c>
    </row>
    <row r="2096" customFormat="false" ht="15" hidden="false" customHeight="true" outlineLevel="0" collapsed="false">
      <c r="A2096" s="5" t="s">
        <v>88</v>
      </c>
      <c r="B2096" s="5" t="s">
        <v>86</v>
      </c>
      <c r="C2096" s="5" t="s">
        <v>494</v>
      </c>
      <c r="D2096" s="6" t="n">
        <v>0.181007979393687</v>
      </c>
      <c r="E2096" s="6" t="n">
        <v>0.0245309673696441</v>
      </c>
      <c r="F2096" s="7" t="n">
        <v>1.59777451946545E-013</v>
      </c>
    </row>
    <row r="2097" customFormat="false" ht="15" hidden="false" customHeight="true" outlineLevel="0" collapsed="false">
      <c r="A2097" s="5" t="s">
        <v>88</v>
      </c>
      <c r="B2097" s="5" t="s">
        <v>86</v>
      </c>
      <c r="C2097" s="5" t="s">
        <v>495</v>
      </c>
      <c r="D2097" s="6" t="n">
        <v>0.180098777021694</v>
      </c>
      <c r="E2097" s="6" t="n">
        <v>0.0245143153809808</v>
      </c>
      <c r="F2097" s="7" t="n">
        <v>2.03193850918702E-013</v>
      </c>
    </row>
    <row r="2098" customFormat="false" ht="15" hidden="false" customHeight="true" outlineLevel="0" collapsed="false">
      <c r="A2098" s="5" t="s">
        <v>88</v>
      </c>
      <c r="B2098" s="5" t="s">
        <v>86</v>
      </c>
      <c r="C2098" s="5" t="s">
        <v>496</v>
      </c>
      <c r="D2098" s="6" t="n">
        <v>0.181935798626812</v>
      </c>
      <c r="E2098" s="6" t="n">
        <v>0.024530734059265</v>
      </c>
      <c r="F2098" s="7" t="n">
        <v>1.20122416568741E-013</v>
      </c>
    </row>
    <row r="2099" customFormat="false" ht="15" hidden="false" customHeight="true" outlineLevel="0" collapsed="false">
      <c r="A2099" s="5" t="s">
        <v>88</v>
      </c>
      <c r="B2099" s="5" t="s">
        <v>86</v>
      </c>
      <c r="C2099" s="5" t="s">
        <v>497</v>
      </c>
      <c r="D2099" s="6" t="n">
        <v>0.182320370250001</v>
      </c>
      <c r="E2099" s="6" t="n">
        <v>0.024489696981704</v>
      </c>
      <c r="F2099" s="7" t="n">
        <v>9.7107188855609E-014</v>
      </c>
    </row>
    <row r="2100" customFormat="false" ht="15" hidden="false" customHeight="true" outlineLevel="0" collapsed="false">
      <c r="A2100" s="5" t="s">
        <v>88</v>
      </c>
      <c r="B2100" s="5" t="s">
        <v>86</v>
      </c>
      <c r="C2100" s="5" t="s">
        <v>498</v>
      </c>
      <c r="D2100" s="6" t="n">
        <v>0.181843084881053</v>
      </c>
      <c r="E2100" s="6" t="n">
        <v>0.0245180494773143</v>
      </c>
      <c r="F2100" s="7" t="n">
        <v>1.20072017799091E-013</v>
      </c>
    </row>
    <row r="2101" customFormat="false" ht="15" hidden="false" customHeight="true" outlineLevel="0" collapsed="false">
      <c r="A2101" s="5" t="s">
        <v>88</v>
      </c>
      <c r="B2101" s="5" t="s">
        <v>86</v>
      </c>
      <c r="C2101" s="5" t="s">
        <v>499</v>
      </c>
      <c r="D2101" s="6" t="n">
        <v>0.181810728484814</v>
      </c>
      <c r="E2101" s="6" t="n">
        <v>0.024524086803585</v>
      </c>
      <c r="F2101" s="7" t="n">
        <v>1.22955664749772E-013</v>
      </c>
    </row>
    <row r="2102" customFormat="false" ht="15" hidden="false" customHeight="true" outlineLevel="0" collapsed="false">
      <c r="A2102" s="5" t="s">
        <v>88</v>
      </c>
      <c r="B2102" s="5" t="s">
        <v>86</v>
      </c>
      <c r="C2102" s="5" t="s">
        <v>500</v>
      </c>
      <c r="D2102" s="6" t="n">
        <v>0.182754688581024</v>
      </c>
      <c r="E2102" s="6" t="n">
        <v>0.0244244108540523</v>
      </c>
      <c r="F2102" s="7" t="n">
        <v>7.29438426088114E-014</v>
      </c>
    </row>
    <row r="2103" customFormat="false" ht="15" hidden="false" customHeight="true" outlineLevel="0" collapsed="false">
      <c r="A2103" s="5" t="s">
        <v>88</v>
      </c>
      <c r="B2103" s="5" t="s">
        <v>86</v>
      </c>
      <c r="C2103" s="5" t="s">
        <v>501</v>
      </c>
      <c r="D2103" s="6" t="n">
        <v>0.182775094253148</v>
      </c>
      <c r="E2103" s="6" t="n">
        <v>0.0245437854518423</v>
      </c>
      <c r="F2103" s="7" t="n">
        <v>9.5559633135364E-014</v>
      </c>
    </row>
    <row r="2104" customFormat="false" ht="15" hidden="false" customHeight="true" outlineLevel="0" collapsed="false">
      <c r="A2104" s="5" t="s">
        <v>88</v>
      </c>
      <c r="B2104" s="5" t="s">
        <v>86</v>
      </c>
      <c r="C2104" s="5" t="s">
        <v>502</v>
      </c>
      <c r="D2104" s="6" t="n">
        <v>0.181245040264863</v>
      </c>
      <c r="E2104" s="6" t="n">
        <v>0.0245349385415741</v>
      </c>
      <c r="F2104" s="7" t="n">
        <v>1.49928047508945E-013</v>
      </c>
    </row>
    <row r="2105" customFormat="false" ht="15" hidden="false" customHeight="true" outlineLevel="0" collapsed="false">
      <c r="A2105" s="5" t="s">
        <v>88</v>
      </c>
      <c r="B2105" s="5" t="s">
        <v>86</v>
      </c>
      <c r="C2105" s="5" t="s">
        <v>503</v>
      </c>
      <c r="D2105" s="6" t="n">
        <v>0.18116460571864</v>
      </c>
      <c r="E2105" s="6" t="n">
        <v>0.0245247803595611</v>
      </c>
      <c r="F2105" s="7" t="n">
        <v>1.5017614910124E-013</v>
      </c>
    </row>
    <row r="2106" customFormat="false" ht="15" hidden="false" customHeight="true" outlineLevel="0" collapsed="false">
      <c r="A2106" s="5" t="s">
        <v>88</v>
      </c>
      <c r="B2106" s="5" t="s">
        <v>86</v>
      </c>
      <c r="C2106" s="5" t="s">
        <v>504</v>
      </c>
      <c r="D2106" s="6" t="n">
        <v>0.182777308559847</v>
      </c>
      <c r="E2106" s="6" t="n">
        <v>0.024480659826744</v>
      </c>
      <c r="F2106" s="7" t="n">
        <v>8.25488213963051E-014</v>
      </c>
    </row>
    <row r="2107" customFormat="false" ht="15" hidden="false" customHeight="true" outlineLevel="0" collapsed="false">
      <c r="A2107" s="5" t="s">
        <v>88</v>
      </c>
      <c r="B2107" s="5" t="s">
        <v>86</v>
      </c>
      <c r="C2107" s="5" t="s">
        <v>505</v>
      </c>
      <c r="D2107" s="6" t="n">
        <v>0.179129943267819</v>
      </c>
      <c r="E2107" s="6" t="n">
        <v>0.024472023057886</v>
      </c>
      <c r="F2107" s="7" t="n">
        <v>2.48368863868331E-013</v>
      </c>
    </row>
    <row r="2108" customFormat="false" ht="15" hidden="false" customHeight="true" outlineLevel="0" collapsed="false">
      <c r="A2108" s="5" t="s">
        <v>88</v>
      </c>
      <c r="B2108" s="5" t="s">
        <v>86</v>
      </c>
      <c r="C2108" s="5" t="s">
        <v>506</v>
      </c>
      <c r="D2108" s="6" t="n">
        <v>0.181220926636593</v>
      </c>
      <c r="E2108" s="6" t="n">
        <v>0.0245273410782641</v>
      </c>
      <c r="F2108" s="7" t="n">
        <v>1.48464060112704E-013</v>
      </c>
    </row>
    <row r="2109" customFormat="false" ht="15" hidden="false" customHeight="true" outlineLevel="0" collapsed="false">
      <c r="A2109" s="5" t="s">
        <v>88</v>
      </c>
      <c r="B2109" s="5" t="s">
        <v>86</v>
      </c>
      <c r="C2109" s="5" t="s">
        <v>507</v>
      </c>
      <c r="D2109" s="6" t="n">
        <v>0.182205637273395</v>
      </c>
      <c r="E2109" s="6" t="n">
        <v>0.0245772077903378</v>
      </c>
      <c r="F2109" s="7" t="n">
        <v>1.22914409394538E-013</v>
      </c>
    </row>
    <row r="2110" customFormat="false" ht="15" hidden="false" customHeight="true" outlineLevel="0" collapsed="false">
      <c r="A2110" s="5" t="s">
        <v>88</v>
      </c>
      <c r="B2110" s="5" t="s">
        <v>86</v>
      </c>
      <c r="C2110" s="5" t="s">
        <v>508</v>
      </c>
      <c r="D2110" s="6" t="n">
        <v>0.182411849968195</v>
      </c>
      <c r="E2110" s="6" t="n">
        <v>0.0244895505923097</v>
      </c>
      <c r="F2110" s="7" t="n">
        <v>9.43655934204182E-014</v>
      </c>
    </row>
    <row r="2111" customFormat="false" ht="15" hidden="false" customHeight="true" outlineLevel="0" collapsed="false">
      <c r="A2111" s="5" t="s">
        <v>88</v>
      </c>
      <c r="B2111" s="5" t="s">
        <v>86</v>
      </c>
      <c r="C2111" s="5" t="s">
        <v>509</v>
      </c>
      <c r="D2111" s="6" t="n">
        <v>0.182084812299029</v>
      </c>
      <c r="E2111" s="6" t="n">
        <v>0.0244905721720609</v>
      </c>
      <c r="F2111" s="7" t="n">
        <v>1.04651712241676E-013</v>
      </c>
    </row>
    <row r="2112" customFormat="false" ht="15" hidden="false" customHeight="true" outlineLevel="0" collapsed="false">
      <c r="A2112" s="5" t="s">
        <v>88</v>
      </c>
      <c r="B2112" s="5" t="s">
        <v>86</v>
      </c>
      <c r="C2112" s="5" t="s">
        <v>510</v>
      </c>
      <c r="D2112" s="6" t="n">
        <v>0.182004155109164</v>
      </c>
      <c r="E2112" s="6" t="n">
        <v>0.0245103761810021</v>
      </c>
      <c r="F2112" s="7" t="n">
        <v>1.12273070581798E-013</v>
      </c>
    </row>
    <row r="2113" customFormat="false" ht="15" hidden="false" customHeight="true" outlineLevel="0" collapsed="false">
      <c r="A2113" s="5" t="s">
        <v>88</v>
      </c>
      <c r="B2113" s="5" t="s">
        <v>86</v>
      </c>
      <c r="C2113" s="5" t="s">
        <v>511</v>
      </c>
      <c r="D2113" s="6" t="n">
        <v>0.180893865692394</v>
      </c>
      <c r="E2113" s="6" t="n">
        <v>0.0245366230239633</v>
      </c>
      <c r="F2113" s="7" t="n">
        <v>1.67579905523141E-013</v>
      </c>
    </row>
    <row r="2114" customFormat="false" ht="15" hidden="false" customHeight="true" outlineLevel="0" collapsed="false">
      <c r="A2114" s="5" t="s">
        <v>88</v>
      </c>
      <c r="B2114" s="5" t="s">
        <v>86</v>
      </c>
      <c r="C2114" s="5" t="s">
        <v>512</v>
      </c>
      <c r="D2114" s="6" t="n">
        <v>0.181801965339376</v>
      </c>
      <c r="E2114" s="6" t="n">
        <v>0.0245154823700242</v>
      </c>
      <c r="F2114" s="7" t="n">
        <v>1.2089091409482E-013</v>
      </c>
    </row>
    <row r="2115" customFormat="false" ht="15" hidden="false" customHeight="true" outlineLevel="0" collapsed="false">
      <c r="A2115" s="5" t="s">
        <v>88</v>
      </c>
      <c r="B2115" s="5" t="s">
        <v>86</v>
      </c>
      <c r="C2115" s="5" t="s">
        <v>513</v>
      </c>
      <c r="D2115" s="6" t="n">
        <v>0.182085547814478</v>
      </c>
      <c r="E2115" s="6" t="n">
        <v>0.0245220214130318</v>
      </c>
      <c r="F2115" s="7" t="n">
        <v>1.12448945242958E-013</v>
      </c>
    </row>
    <row r="2116" customFormat="false" ht="15" hidden="false" customHeight="true" outlineLevel="0" collapsed="false">
      <c r="A2116" s="5" t="s">
        <v>88</v>
      </c>
      <c r="B2116" s="5" t="s">
        <v>86</v>
      </c>
      <c r="C2116" s="5" t="s">
        <v>514</v>
      </c>
      <c r="D2116" s="6" t="n">
        <v>0.181560486940554</v>
      </c>
      <c r="E2116" s="6" t="n">
        <v>0.0245624020450222</v>
      </c>
      <c r="F2116" s="7" t="n">
        <v>1.4484882086866E-013</v>
      </c>
    </row>
    <row r="2117" customFormat="false" ht="15" hidden="false" customHeight="true" outlineLevel="0" collapsed="false">
      <c r="A2117" s="5" t="s">
        <v>88</v>
      </c>
      <c r="B2117" s="5" t="s">
        <v>86</v>
      </c>
      <c r="C2117" s="5" t="s">
        <v>515</v>
      </c>
      <c r="D2117" s="6" t="n">
        <v>0.18064018084301</v>
      </c>
      <c r="E2117" s="6" t="n">
        <v>0.024524474502809</v>
      </c>
      <c r="F2117" s="7" t="n">
        <v>1.76205761308219E-013</v>
      </c>
    </row>
    <row r="2118" customFormat="false" ht="15" hidden="false" customHeight="true" outlineLevel="0" collapsed="false">
      <c r="A2118" s="5" t="s">
        <v>88</v>
      </c>
      <c r="B2118" s="5" t="s">
        <v>86</v>
      </c>
      <c r="C2118" s="5" t="s">
        <v>516</v>
      </c>
      <c r="D2118" s="6" t="n">
        <v>0.182442990207598</v>
      </c>
      <c r="E2118" s="6" t="n">
        <v>0.0244895445750282</v>
      </c>
      <c r="F2118" s="7" t="n">
        <v>9.3459242038215E-014</v>
      </c>
    </row>
    <row r="2119" customFormat="false" ht="15" hidden="false" customHeight="true" outlineLevel="0" collapsed="false">
      <c r="A2119" s="5" t="s">
        <v>88</v>
      </c>
      <c r="B2119" s="5" t="s">
        <v>86</v>
      </c>
      <c r="C2119" s="5" t="s">
        <v>517</v>
      </c>
      <c r="D2119" s="6" t="n">
        <v>0.183941934426893</v>
      </c>
      <c r="E2119" s="6" t="n">
        <v>0.0245584512854797</v>
      </c>
      <c r="F2119" s="7" t="n">
        <v>6.88921144122449E-014</v>
      </c>
    </row>
    <row r="2120" customFormat="false" ht="15" hidden="false" customHeight="true" outlineLevel="0" collapsed="false">
      <c r="A2120" s="5" t="s">
        <v>88</v>
      </c>
      <c r="B2120" s="5" t="s">
        <v>86</v>
      </c>
      <c r="C2120" s="5" t="s">
        <v>518</v>
      </c>
      <c r="D2120" s="6" t="n">
        <v>0.18198884438081</v>
      </c>
      <c r="E2120" s="6" t="n">
        <v>0.0245077034862829</v>
      </c>
      <c r="F2120" s="7" t="n">
        <v>1.12116182314039E-013</v>
      </c>
    </row>
    <row r="2121" customFormat="false" ht="15" hidden="false" customHeight="true" outlineLevel="0" collapsed="false">
      <c r="A2121" s="5" t="s">
        <v>88</v>
      </c>
      <c r="B2121" s="5" t="s">
        <v>86</v>
      </c>
      <c r="C2121" s="5" t="s">
        <v>519</v>
      </c>
      <c r="D2121" s="6" t="n">
        <v>0.180215470389322</v>
      </c>
      <c r="E2121" s="6" t="n">
        <v>0.0245039986477144</v>
      </c>
      <c r="F2121" s="7" t="n">
        <v>1.9159555306082E-013</v>
      </c>
    </row>
    <row r="2122" customFormat="false" ht="15" hidden="false" customHeight="true" outlineLevel="0" collapsed="false">
      <c r="A2122" s="5" t="s">
        <v>88</v>
      </c>
      <c r="B2122" s="5" t="s">
        <v>86</v>
      </c>
      <c r="C2122" s="5" t="s">
        <v>520</v>
      </c>
      <c r="D2122" s="6" t="n">
        <v>0.181413991476466</v>
      </c>
      <c r="E2122" s="6" t="n">
        <v>0.0245223696207223</v>
      </c>
      <c r="F2122" s="7" t="n">
        <v>1.38356959035774E-013</v>
      </c>
    </row>
    <row r="2123" customFormat="false" ht="15" hidden="false" customHeight="true" outlineLevel="0" collapsed="false">
      <c r="A2123" s="5" t="s">
        <v>88</v>
      </c>
      <c r="B2123" s="5" t="s">
        <v>86</v>
      </c>
      <c r="C2123" s="5" t="s">
        <v>521</v>
      </c>
      <c r="D2123" s="6" t="n">
        <v>0.180312763044533</v>
      </c>
      <c r="E2123" s="6" t="n">
        <v>0.024528401223173</v>
      </c>
      <c r="F2123" s="7" t="n">
        <v>1.96460406535059E-013</v>
      </c>
    </row>
    <row r="2124" customFormat="false" ht="15" hidden="false" customHeight="true" outlineLevel="0" collapsed="false">
      <c r="A2124" s="5" t="s">
        <v>88</v>
      </c>
      <c r="B2124" s="5" t="s">
        <v>86</v>
      </c>
      <c r="C2124" s="5" t="s">
        <v>522</v>
      </c>
      <c r="D2124" s="6" t="n">
        <v>0.181782776300999</v>
      </c>
      <c r="E2124" s="6" t="n">
        <v>0.0245310129775674</v>
      </c>
      <c r="F2124" s="7" t="n">
        <v>1.25990369260791E-013</v>
      </c>
    </row>
    <row r="2125" customFormat="false" ht="15" hidden="false" customHeight="true" outlineLevel="0" collapsed="false">
      <c r="A2125" s="5" t="s">
        <v>88</v>
      </c>
      <c r="B2125" s="5" t="s">
        <v>86</v>
      </c>
      <c r="C2125" s="5" t="s">
        <v>523</v>
      </c>
      <c r="D2125" s="6" t="n">
        <v>0.179573393278328</v>
      </c>
      <c r="E2125" s="6" t="n">
        <v>0.0244140066191497</v>
      </c>
      <c r="F2125" s="7" t="n">
        <v>1.90437434999327E-013</v>
      </c>
    </row>
    <row r="2126" customFormat="false" ht="15" hidden="false" customHeight="true" outlineLevel="0" collapsed="false">
      <c r="A2126" s="5" t="s">
        <v>88</v>
      </c>
      <c r="B2126" s="5" t="s">
        <v>86</v>
      </c>
      <c r="C2126" s="5" t="s">
        <v>524</v>
      </c>
      <c r="D2126" s="6" t="n">
        <v>0.181478958441867</v>
      </c>
      <c r="E2126" s="6" t="n">
        <v>0.024526600286305</v>
      </c>
      <c r="F2126" s="7" t="n">
        <v>1.36934303559199E-013</v>
      </c>
    </row>
    <row r="2127" customFormat="false" ht="15" hidden="false" customHeight="true" outlineLevel="0" collapsed="false">
      <c r="A2127" s="5" t="s">
        <v>88</v>
      </c>
      <c r="B2127" s="5" t="s">
        <v>86</v>
      </c>
      <c r="C2127" s="5" t="s">
        <v>525</v>
      </c>
      <c r="D2127" s="6" t="n">
        <v>0.180673759713776</v>
      </c>
      <c r="E2127" s="6" t="n">
        <v>0.0245137106351064</v>
      </c>
      <c r="F2127" s="7" t="n">
        <v>1.70225830913495E-013</v>
      </c>
    </row>
    <row r="2128" customFormat="false" ht="15" hidden="false" customHeight="true" outlineLevel="0" collapsed="false">
      <c r="A2128" s="5" t="s">
        <v>88</v>
      </c>
      <c r="B2128" s="5" t="s">
        <v>86</v>
      </c>
      <c r="C2128" s="5" t="s">
        <v>526</v>
      </c>
      <c r="D2128" s="6" t="n">
        <v>0.180018525851089</v>
      </c>
      <c r="E2128" s="6" t="n">
        <v>0.0245958193836047</v>
      </c>
      <c r="F2128" s="7" t="n">
        <v>2.49695173727079E-013</v>
      </c>
    </row>
    <row r="2129" customFormat="false" ht="15" hidden="false" customHeight="true" outlineLevel="0" collapsed="false">
      <c r="A2129" s="5" t="s">
        <v>88</v>
      </c>
      <c r="B2129" s="5" t="s">
        <v>86</v>
      </c>
      <c r="C2129" s="5" t="s">
        <v>527</v>
      </c>
      <c r="D2129" s="6" t="n">
        <v>0.180568700704862</v>
      </c>
      <c r="E2129" s="6" t="n">
        <v>0.0245998324879239</v>
      </c>
      <c r="F2129" s="7" t="n">
        <v>2.13209476656973E-013</v>
      </c>
    </row>
    <row r="2130" customFormat="false" ht="15" hidden="false" customHeight="true" outlineLevel="0" collapsed="false">
      <c r="A2130" s="5" t="s">
        <v>88</v>
      </c>
      <c r="B2130" s="5" t="s">
        <v>86</v>
      </c>
      <c r="C2130" s="5" t="s">
        <v>528</v>
      </c>
      <c r="D2130" s="6" t="n">
        <v>0.181443560972275</v>
      </c>
      <c r="E2130" s="6" t="n">
        <v>0.0245472650282144</v>
      </c>
      <c r="F2130" s="7" t="n">
        <v>1.45072537989096E-013</v>
      </c>
    </row>
    <row r="2131" customFormat="false" ht="15" hidden="false" customHeight="true" outlineLevel="0" collapsed="false">
      <c r="A2131" s="5" t="s">
        <v>88</v>
      </c>
      <c r="B2131" s="5" t="s">
        <v>86</v>
      </c>
      <c r="C2131" s="5" t="s">
        <v>529</v>
      </c>
      <c r="D2131" s="6" t="n">
        <v>0.180069690754719</v>
      </c>
      <c r="E2131" s="6" t="n">
        <v>0.0245054165850832</v>
      </c>
      <c r="F2131" s="7" t="n">
        <v>2.00955781082151E-013</v>
      </c>
    </row>
    <row r="2132" customFormat="false" ht="15" hidden="false" customHeight="true" outlineLevel="0" collapsed="false">
      <c r="A2132" s="5" t="s">
        <v>88</v>
      </c>
      <c r="B2132" s="5" t="s">
        <v>86</v>
      </c>
      <c r="C2132" s="5" t="s">
        <v>530</v>
      </c>
      <c r="D2132" s="6" t="n">
        <v>0.18085405496043</v>
      </c>
      <c r="E2132" s="6" t="n">
        <v>0.0245258664518035</v>
      </c>
      <c r="F2132" s="7" t="n">
        <v>1.65567190167016E-013</v>
      </c>
    </row>
    <row r="2133" customFormat="false" ht="15" hidden="false" customHeight="true" outlineLevel="0" collapsed="false">
      <c r="A2133" s="5" t="s">
        <v>88</v>
      </c>
      <c r="B2133" s="5" t="s">
        <v>86</v>
      </c>
      <c r="C2133" s="5" t="s">
        <v>531</v>
      </c>
      <c r="D2133" s="6" t="n">
        <v>0.181054517528485</v>
      </c>
      <c r="E2133" s="6" t="n">
        <v>0.0245389031806136</v>
      </c>
      <c r="F2133" s="7" t="n">
        <v>1.60366173414264E-013</v>
      </c>
    </row>
    <row r="2134" customFormat="false" ht="15" hidden="false" customHeight="true" outlineLevel="0" collapsed="false">
      <c r="A2134" s="5" t="s">
        <v>88</v>
      </c>
      <c r="B2134" s="5" t="s">
        <v>86</v>
      </c>
      <c r="C2134" s="5" t="s">
        <v>532</v>
      </c>
      <c r="D2134" s="6" t="n">
        <v>0.182706150616953</v>
      </c>
      <c r="E2134" s="6" t="n">
        <v>0.0244554986004578</v>
      </c>
      <c r="F2134" s="7" t="n">
        <v>7.96094102842228E-014</v>
      </c>
    </row>
    <row r="2135" customFormat="false" ht="15" hidden="false" customHeight="true" outlineLevel="0" collapsed="false">
      <c r="A2135" s="5" t="s">
        <v>88</v>
      </c>
      <c r="B2135" s="5" t="s">
        <v>86</v>
      </c>
      <c r="C2135" s="5" t="s">
        <v>533</v>
      </c>
      <c r="D2135" s="6" t="n">
        <v>0.181141639882794</v>
      </c>
      <c r="E2135" s="6" t="n">
        <v>0.0245256115687582</v>
      </c>
      <c r="F2135" s="7" t="n">
        <v>1.51521885280802E-013</v>
      </c>
    </row>
    <row r="2136" customFormat="false" ht="15" hidden="false" customHeight="true" outlineLevel="0" collapsed="false">
      <c r="A2136" s="5" t="s">
        <v>88</v>
      </c>
      <c r="B2136" s="5" t="s">
        <v>86</v>
      </c>
      <c r="C2136" s="5" t="s">
        <v>534</v>
      </c>
      <c r="D2136" s="6" t="n">
        <v>0.180833479956695</v>
      </c>
      <c r="E2136" s="6" t="n">
        <v>0.0245229274169831</v>
      </c>
      <c r="F2136" s="7" t="n">
        <v>1.65511589655302E-013</v>
      </c>
    </row>
    <row r="2137" customFormat="false" ht="15" hidden="false" customHeight="true" outlineLevel="0" collapsed="false">
      <c r="A2137" s="5" t="s">
        <v>88</v>
      </c>
      <c r="B2137" s="5" t="s">
        <v>86</v>
      </c>
      <c r="C2137" s="5" t="s">
        <v>535</v>
      </c>
      <c r="D2137" s="6" t="n">
        <v>0.180460113291914</v>
      </c>
      <c r="E2137" s="6" t="n">
        <v>0.0244972066839562</v>
      </c>
      <c r="F2137" s="7" t="n">
        <v>1.75088746235573E-013</v>
      </c>
    </row>
    <row r="2138" customFormat="false" ht="15" hidden="false" customHeight="true" outlineLevel="0" collapsed="false">
      <c r="A2138" s="5" t="s">
        <v>88</v>
      </c>
      <c r="B2138" s="5" t="s">
        <v>86</v>
      </c>
      <c r="C2138" s="5" t="s">
        <v>536</v>
      </c>
      <c r="D2138" s="6" t="n">
        <v>0.181790848705986</v>
      </c>
      <c r="E2138" s="6" t="n">
        <v>0.0245037396179994</v>
      </c>
      <c r="F2138" s="7" t="n">
        <v>1.18095037626767E-013</v>
      </c>
    </row>
    <row r="2139" customFormat="false" ht="15" hidden="false" customHeight="true" outlineLevel="0" collapsed="false">
      <c r="A2139" s="5" t="s">
        <v>88</v>
      </c>
      <c r="B2139" s="5" t="s">
        <v>86</v>
      </c>
      <c r="C2139" s="5" t="s">
        <v>537</v>
      </c>
      <c r="D2139" s="6" t="n">
        <v>0.182490410504181</v>
      </c>
      <c r="E2139" s="6" t="n">
        <v>0.0245106054839396</v>
      </c>
      <c r="F2139" s="7" t="n">
        <v>9.66765602445677E-014</v>
      </c>
    </row>
    <row r="2140" customFormat="false" ht="15" hidden="false" customHeight="true" outlineLevel="0" collapsed="false">
      <c r="A2140" s="5" t="s">
        <v>88</v>
      </c>
      <c r="B2140" s="5" t="s">
        <v>86</v>
      </c>
      <c r="C2140" s="5" t="s">
        <v>538</v>
      </c>
      <c r="D2140" s="6" t="n">
        <v>0.181264756316543</v>
      </c>
      <c r="E2140" s="6" t="n">
        <v>0.0245352619263951</v>
      </c>
      <c r="F2140" s="7" t="n">
        <v>1.49134101932083E-013</v>
      </c>
    </row>
    <row r="2141" customFormat="false" ht="15" hidden="false" customHeight="true" outlineLevel="0" collapsed="false">
      <c r="A2141" s="5" t="s">
        <v>88</v>
      </c>
      <c r="B2141" s="5" t="s">
        <v>86</v>
      </c>
      <c r="C2141" s="5" t="s">
        <v>539</v>
      </c>
      <c r="D2141" s="6" t="n">
        <v>0.181124299456801</v>
      </c>
      <c r="E2141" s="6" t="n">
        <v>0.0245314745449624</v>
      </c>
      <c r="F2141" s="7" t="n">
        <v>1.54363262980525E-013</v>
      </c>
    </row>
    <row r="2142" customFormat="false" ht="15" hidden="false" customHeight="true" outlineLevel="0" collapsed="false">
      <c r="A2142" s="5" t="s">
        <v>88</v>
      </c>
      <c r="B2142" s="5" t="s">
        <v>86</v>
      </c>
      <c r="C2142" s="5" t="s">
        <v>540</v>
      </c>
      <c r="D2142" s="6" t="n">
        <v>0.18328436378745</v>
      </c>
      <c r="E2142" s="6" t="n">
        <v>0.0245221931099416</v>
      </c>
      <c r="F2142" s="7" t="n">
        <v>7.76607690110043E-014</v>
      </c>
    </row>
    <row r="2143" customFormat="false" ht="15" hidden="false" customHeight="true" outlineLevel="0" collapsed="false">
      <c r="A2143" s="5" t="s">
        <v>88</v>
      </c>
      <c r="B2143" s="5" t="s">
        <v>86</v>
      </c>
      <c r="C2143" s="5" t="s">
        <v>541</v>
      </c>
      <c r="D2143" s="6" t="n">
        <v>0.181113747716558</v>
      </c>
      <c r="E2143" s="6" t="n">
        <v>0.0245281842056632</v>
      </c>
      <c r="F2143" s="7" t="n">
        <v>1.53714758219177E-013</v>
      </c>
    </row>
    <row r="2144" customFormat="false" ht="15" hidden="false" customHeight="true" outlineLevel="0" collapsed="false">
      <c r="A2144" s="5" t="s">
        <v>88</v>
      </c>
      <c r="B2144" s="5" t="s">
        <v>86</v>
      </c>
      <c r="C2144" s="5" t="s">
        <v>542</v>
      </c>
      <c r="D2144" s="6" t="n">
        <v>0.181174134810615</v>
      </c>
      <c r="E2144" s="6" t="n">
        <v>0.0245231166229302</v>
      </c>
      <c r="F2144" s="7" t="n">
        <v>1.49174933346786E-013</v>
      </c>
    </row>
    <row r="2145" customFormat="false" ht="15" hidden="false" customHeight="true" outlineLevel="0" collapsed="false">
      <c r="A2145" s="5" t="s">
        <v>88</v>
      </c>
      <c r="B2145" s="5" t="s">
        <v>86</v>
      </c>
      <c r="C2145" s="5" t="s">
        <v>543</v>
      </c>
      <c r="D2145" s="6" t="n">
        <v>0.183271954209143</v>
      </c>
      <c r="E2145" s="6" t="n">
        <v>0.0244510050703937</v>
      </c>
      <c r="F2145" s="7" t="n">
        <v>6.60575218128185E-014</v>
      </c>
    </row>
    <row r="2146" customFormat="false" ht="15" hidden="false" customHeight="true" outlineLevel="0" collapsed="false">
      <c r="A2146" s="5" t="s">
        <v>88</v>
      </c>
      <c r="B2146" s="5" t="s">
        <v>86</v>
      </c>
      <c r="C2146" s="5" t="s">
        <v>544</v>
      </c>
      <c r="D2146" s="6" t="n">
        <v>0.180956244911597</v>
      </c>
      <c r="E2146" s="6" t="n">
        <v>0.0245388140965157</v>
      </c>
      <c r="F2146" s="7" t="n">
        <v>1.65227558976725E-013</v>
      </c>
    </row>
    <row r="2147" customFormat="false" ht="15" hidden="false" customHeight="true" outlineLevel="0" collapsed="false">
      <c r="A2147" s="5" t="s">
        <v>88</v>
      </c>
      <c r="B2147" s="5" t="s">
        <v>86</v>
      </c>
      <c r="C2147" s="5" t="s">
        <v>545</v>
      </c>
      <c r="D2147" s="6" t="n">
        <v>0.181289534572891</v>
      </c>
      <c r="E2147" s="6" t="n">
        <v>0.0245490109684219</v>
      </c>
      <c r="F2147" s="7" t="n">
        <v>1.52682797197146E-013</v>
      </c>
    </row>
    <row r="2148" customFormat="false" ht="15" hidden="false" customHeight="true" outlineLevel="0" collapsed="false">
      <c r="A2148" s="5" t="s">
        <v>88</v>
      </c>
      <c r="B2148" s="5" t="s">
        <v>86</v>
      </c>
      <c r="C2148" s="5" t="s">
        <v>546</v>
      </c>
      <c r="D2148" s="6" t="n">
        <v>0.180914061398117</v>
      </c>
      <c r="E2148" s="6" t="n">
        <v>0.0245355503782826</v>
      </c>
      <c r="F2148" s="7" t="n">
        <v>1.66145677153845E-013</v>
      </c>
    </row>
    <row r="2149" customFormat="false" ht="15" hidden="false" customHeight="true" outlineLevel="0" collapsed="false">
      <c r="A2149" s="5" t="s">
        <v>88</v>
      </c>
      <c r="B2149" s="5" t="s">
        <v>86</v>
      </c>
      <c r="C2149" s="5" t="s">
        <v>547</v>
      </c>
      <c r="D2149" s="6" t="n">
        <v>0.182330190979694</v>
      </c>
      <c r="E2149" s="6" t="n">
        <v>0.024481782137825</v>
      </c>
      <c r="F2149" s="7" t="n">
        <v>9.50631961453965E-014</v>
      </c>
    </row>
    <row r="2150" customFormat="false" ht="15" hidden="false" customHeight="true" outlineLevel="0" collapsed="false">
      <c r="A2150" s="5" t="s">
        <v>88</v>
      </c>
      <c r="B2150" s="5" t="s">
        <v>86</v>
      </c>
      <c r="C2150" s="5" t="s">
        <v>548</v>
      </c>
      <c r="D2150" s="6" t="n">
        <v>0.182113050541813</v>
      </c>
      <c r="E2150" s="6" t="n">
        <v>0.0245754105646607</v>
      </c>
      <c r="F2150" s="7" t="n">
        <v>1.25941138841044E-013</v>
      </c>
    </row>
    <row r="2151" customFormat="false" ht="15" hidden="false" customHeight="true" outlineLevel="0" collapsed="false">
      <c r="A2151" s="5" t="s">
        <v>88</v>
      </c>
      <c r="B2151" s="5" t="s">
        <v>86</v>
      </c>
      <c r="C2151" s="5" t="s">
        <v>549</v>
      </c>
      <c r="D2151" s="6" t="n">
        <v>0.182736498174072</v>
      </c>
      <c r="E2151" s="6" t="n">
        <v>0.0245365297580794</v>
      </c>
      <c r="F2151" s="7" t="n">
        <v>9.51051996105203E-014</v>
      </c>
    </row>
    <row r="2152" customFormat="false" ht="15" hidden="false" customHeight="true" outlineLevel="0" collapsed="false">
      <c r="A2152" s="5" t="s">
        <v>88</v>
      </c>
      <c r="B2152" s="5" t="s">
        <v>86</v>
      </c>
      <c r="C2152" s="5" t="s">
        <v>550</v>
      </c>
      <c r="D2152" s="6" t="n">
        <v>0.181361993413406</v>
      </c>
      <c r="E2152" s="6" t="n">
        <v>0.0245219472708655</v>
      </c>
      <c r="F2152" s="7" t="n">
        <v>1.40448351985083E-013</v>
      </c>
    </row>
    <row r="2153" customFormat="false" ht="15" hidden="false" customHeight="true" outlineLevel="0" collapsed="false">
      <c r="A2153" s="5" t="s">
        <v>88</v>
      </c>
      <c r="B2153" s="5" t="s">
        <v>86</v>
      </c>
      <c r="C2153" s="5" t="s">
        <v>551</v>
      </c>
      <c r="D2153" s="6" t="n">
        <v>0.181610531830633</v>
      </c>
      <c r="E2153" s="6" t="n">
        <v>0.0245141402057117</v>
      </c>
      <c r="F2153" s="7" t="n">
        <v>1.27833210457175E-013</v>
      </c>
    </row>
    <row r="2154" customFormat="false" ht="15" hidden="false" customHeight="true" outlineLevel="0" collapsed="false">
      <c r="A2154" s="5" t="s">
        <v>88</v>
      </c>
      <c r="B2154" s="5" t="s">
        <v>86</v>
      </c>
      <c r="C2154" s="5" t="s">
        <v>552</v>
      </c>
      <c r="D2154" s="6" t="n">
        <v>0.183542838526638</v>
      </c>
      <c r="E2154" s="6" t="n">
        <v>0.0244389690731888</v>
      </c>
      <c r="F2154" s="7" t="n">
        <v>5.90132429196566E-014</v>
      </c>
    </row>
    <row r="2155" customFormat="false" ht="15" hidden="false" customHeight="true" outlineLevel="0" collapsed="false">
      <c r="A2155" s="5" t="s">
        <v>88</v>
      </c>
      <c r="B2155" s="5" t="s">
        <v>86</v>
      </c>
      <c r="C2155" s="5" t="s">
        <v>553</v>
      </c>
      <c r="D2155" s="6" t="n">
        <v>0.18042184440672</v>
      </c>
      <c r="E2155" s="6" t="n">
        <v>0.0244988201872849</v>
      </c>
      <c r="F2155" s="7" t="n">
        <v>1.77796650933176E-013</v>
      </c>
    </row>
    <row r="2156" customFormat="false" ht="15" hidden="false" customHeight="true" outlineLevel="0" collapsed="false">
      <c r="A2156" s="5" t="s">
        <v>88</v>
      </c>
      <c r="B2156" s="5" t="s">
        <v>86</v>
      </c>
      <c r="C2156" s="5" t="s">
        <v>554</v>
      </c>
      <c r="D2156" s="6" t="n">
        <v>0.18233846045269</v>
      </c>
      <c r="E2156" s="6" t="n">
        <v>0.0244969260719306</v>
      </c>
      <c r="F2156" s="7" t="n">
        <v>9.81858369009187E-014</v>
      </c>
    </row>
    <row r="2157" customFormat="false" ht="15" hidden="false" customHeight="true" outlineLevel="0" collapsed="false">
      <c r="A2157" s="5" t="s">
        <v>88</v>
      </c>
      <c r="B2157" s="5" t="s">
        <v>86</v>
      </c>
      <c r="C2157" s="5" t="s">
        <v>555</v>
      </c>
      <c r="D2157" s="6" t="n">
        <v>0.181747770615167</v>
      </c>
      <c r="E2157" s="6" t="n">
        <v>0.024507348031519</v>
      </c>
      <c r="F2157" s="7" t="n">
        <v>1.20663020196606E-013</v>
      </c>
    </row>
    <row r="2158" customFormat="false" ht="15" hidden="false" customHeight="true" outlineLevel="0" collapsed="false">
      <c r="A2158" s="5" t="s">
        <v>88</v>
      </c>
      <c r="B2158" s="5" t="s">
        <v>86</v>
      </c>
      <c r="C2158" s="5" t="s">
        <v>556</v>
      </c>
      <c r="D2158" s="6" t="n">
        <v>0.180605627736123</v>
      </c>
      <c r="E2158" s="6" t="n">
        <v>0.0245089272467638</v>
      </c>
      <c r="F2158" s="7" t="n">
        <v>1.71947236272942E-013</v>
      </c>
    </row>
    <row r="2159" customFormat="false" ht="15" hidden="false" customHeight="true" outlineLevel="0" collapsed="false">
      <c r="A2159" s="5" t="s">
        <v>88</v>
      </c>
      <c r="B2159" s="5" t="s">
        <v>86</v>
      </c>
      <c r="C2159" s="5" t="s">
        <v>557</v>
      </c>
      <c r="D2159" s="6" t="n">
        <v>0.181232293056888</v>
      </c>
      <c r="E2159" s="6" t="n">
        <v>0.0245213996912258</v>
      </c>
      <c r="F2159" s="7" t="n">
        <v>1.4596895100141E-013</v>
      </c>
    </row>
    <row r="2160" customFormat="false" ht="15" hidden="false" customHeight="true" outlineLevel="0" collapsed="false">
      <c r="A2160" s="5" t="s">
        <v>88</v>
      </c>
      <c r="B2160" s="5" t="s">
        <v>86</v>
      </c>
      <c r="C2160" s="5" t="s">
        <v>558</v>
      </c>
      <c r="D2160" s="6" t="n">
        <v>0.180941725947428</v>
      </c>
      <c r="E2160" s="6" t="n">
        <v>0.0245222505194339</v>
      </c>
      <c r="F2160" s="7" t="n">
        <v>1.59872108306644E-013</v>
      </c>
    </row>
    <row r="2161" customFormat="false" ht="15" hidden="false" customHeight="true" outlineLevel="0" collapsed="false">
      <c r="A2161" s="5" t="s">
        <v>88</v>
      </c>
      <c r="B2161" s="5" t="s">
        <v>86</v>
      </c>
      <c r="C2161" s="5" t="s">
        <v>559</v>
      </c>
      <c r="D2161" s="6" t="n">
        <v>0.180517168624995</v>
      </c>
      <c r="E2161" s="6" t="n">
        <v>0.0245176986539271</v>
      </c>
      <c r="F2161" s="7" t="n">
        <v>1.8018806819147E-013</v>
      </c>
    </row>
    <row r="2162" customFormat="false" ht="15" hidden="false" customHeight="true" outlineLevel="0" collapsed="false">
      <c r="A2162" s="5" t="s">
        <v>88</v>
      </c>
      <c r="B2162" s="5" t="s">
        <v>86</v>
      </c>
      <c r="C2162" s="5" t="s">
        <v>560</v>
      </c>
      <c r="D2162" s="6" t="n">
        <v>0.181612435361307</v>
      </c>
      <c r="E2162" s="6" t="n">
        <v>0.0245220391779843</v>
      </c>
      <c r="F2162" s="7" t="n">
        <v>1.30077324039032E-013</v>
      </c>
    </row>
    <row r="2163" customFormat="false" ht="15" hidden="false" customHeight="true" outlineLevel="0" collapsed="false">
      <c r="A2163" s="5" t="s">
        <v>88</v>
      </c>
      <c r="B2163" s="5" t="s">
        <v>86</v>
      </c>
      <c r="C2163" s="5" t="s">
        <v>561</v>
      </c>
      <c r="D2163" s="6" t="n">
        <v>0.180240547218652</v>
      </c>
      <c r="E2163" s="6" t="n">
        <v>0.0244991020841942</v>
      </c>
      <c r="F2163" s="7" t="n">
        <v>1.88051801037093E-013</v>
      </c>
    </row>
    <row r="2164" customFormat="false" ht="15" hidden="false" customHeight="true" outlineLevel="0" collapsed="false">
      <c r="A2164" s="5" t="s">
        <v>88</v>
      </c>
      <c r="B2164" s="5" t="s">
        <v>86</v>
      </c>
      <c r="C2164" s="5" t="s">
        <v>562</v>
      </c>
      <c r="D2164" s="6" t="n">
        <v>0.181376013808518</v>
      </c>
      <c r="E2164" s="6" t="n">
        <v>0.0245329086707141</v>
      </c>
      <c r="F2164" s="7" t="n">
        <v>1.43366811389646E-013</v>
      </c>
    </row>
    <row r="2165" customFormat="false" ht="15" hidden="false" customHeight="true" outlineLevel="0" collapsed="false">
      <c r="A2165" s="5" t="s">
        <v>88</v>
      </c>
      <c r="B2165" s="5" t="s">
        <v>86</v>
      </c>
      <c r="C2165" s="5" t="s">
        <v>563</v>
      </c>
      <c r="D2165" s="6" t="n">
        <v>0.180768742909712</v>
      </c>
      <c r="E2165" s="6" t="n">
        <v>0.0245278774697292</v>
      </c>
      <c r="F2165" s="7" t="n">
        <v>1.70717500812651E-013</v>
      </c>
    </row>
    <row r="2166" customFormat="false" ht="15" hidden="false" customHeight="true" outlineLevel="0" collapsed="false">
      <c r="A2166" s="5" t="s">
        <v>88</v>
      </c>
      <c r="B2166" s="5" t="s">
        <v>86</v>
      </c>
      <c r="C2166" s="5" t="s">
        <v>564</v>
      </c>
      <c r="D2166" s="6" t="n">
        <v>0.180938094518512</v>
      </c>
      <c r="E2166" s="6" t="n">
        <v>0.0245243206906634</v>
      </c>
      <c r="F2166" s="7" t="n">
        <v>1.60800309522422E-013</v>
      </c>
    </row>
    <row r="2167" customFormat="false" ht="15" hidden="false" customHeight="true" outlineLevel="0" collapsed="false">
      <c r="A2167" s="5" t="s">
        <v>88</v>
      </c>
      <c r="B2167" s="5" t="s">
        <v>86</v>
      </c>
      <c r="C2167" s="5" t="s">
        <v>565</v>
      </c>
      <c r="D2167" s="6" t="n">
        <v>0.180734290335502</v>
      </c>
      <c r="E2167" s="6" t="n">
        <v>0.0245259598972988</v>
      </c>
      <c r="F2167" s="7" t="n">
        <v>1.71781710639319E-013</v>
      </c>
    </row>
    <row r="2168" customFormat="false" ht="15" hidden="false" customHeight="true" outlineLevel="0" collapsed="false">
      <c r="A2168" s="5" t="s">
        <v>88</v>
      </c>
      <c r="B2168" s="5" t="s">
        <v>86</v>
      </c>
      <c r="C2168" s="5" t="s">
        <v>566</v>
      </c>
      <c r="D2168" s="6" t="n">
        <v>0.181849682712155</v>
      </c>
      <c r="E2168" s="6" t="n">
        <v>0.024542157295376</v>
      </c>
      <c r="F2168" s="7" t="n">
        <v>1.26598671683465E-013</v>
      </c>
    </row>
    <row r="2169" customFormat="false" ht="15" hidden="false" customHeight="true" outlineLevel="0" collapsed="false">
      <c r="A2169" s="5" t="s">
        <v>88</v>
      </c>
      <c r="B2169" s="5" t="s">
        <v>86</v>
      </c>
      <c r="C2169" s="5" t="s">
        <v>567</v>
      </c>
      <c r="D2169" s="6" t="n">
        <v>0.181759008747056</v>
      </c>
      <c r="E2169" s="6" t="n">
        <v>0.0245217758389811</v>
      </c>
      <c r="F2169" s="7" t="n">
        <v>1.24270838470719E-013</v>
      </c>
    </row>
    <row r="2170" customFormat="false" ht="15" hidden="false" customHeight="true" outlineLevel="0" collapsed="false">
      <c r="A2170" s="5" t="s">
        <v>88</v>
      </c>
      <c r="B2170" s="5" t="s">
        <v>86</v>
      </c>
      <c r="C2170" s="5" t="s">
        <v>568</v>
      </c>
      <c r="D2170" s="6" t="n">
        <v>0.180966044541296</v>
      </c>
      <c r="E2170" s="6" t="n">
        <v>0.0245226919494797</v>
      </c>
      <c r="F2170" s="7" t="n">
        <v>1.58844245331463E-013</v>
      </c>
    </row>
    <row r="2171" customFormat="false" ht="15" hidden="false" customHeight="true" outlineLevel="0" collapsed="false">
      <c r="A2171" s="5" t="s">
        <v>88</v>
      </c>
      <c r="B2171" s="5" t="s">
        <v>86</v>
      </c>
      <c r="C2171" s="5" t="s">
        <v>569</v>
      </c>
      <c r="D2171" s="6" t="n">
        <v>0.179354229402268</v>
      </c>
      <c r="E2171" s="6" t="n">
        <v>0.0244662597592628</v>
      </c>
      <c r="F2171" s="7" t="n">
        <v>2.2899424661993E-013</v>
      </c>
    </row>
    <row r="2172" customFormat="false" ht="15" hidden="false" customHeight="true" outlineLevel="0" collapsed="false">
      <c r="A2172" s="5" t="s">
        <v>88</v>
      </c>
      <c r="B2172" s="5" t="s">
        <v>86</v>
      </c>
      <c r="C2172" s="5" t="s">
        <v>570</v>
      </c>
      <c r="D2172" s="6" t="n">
        <v>0.178972005099145</v>
      </c>
      <c r="E2172" s="6" t="n">
        <v>0.0244554427208978</v>
      </c>
      <c r="F2172" s="7" t="n">
        <v>2.51151944866821E-013</v>
      </c>
    </row>
    <row r="2173" customFormat="false" ht="15" hidden="false" customHeight="true" outlineLevel="0" collapsed="false">
      <c r="A2173" s="5" t="s">
        <v>88</v>
      </c>
      <c r="B2173" s="5" t="s">
        <v>86</v>
      </c>
      <c r="C2173" s="5" t="s">
        <v>571</v>
      </c>
      <c r="D2173" s="6" t="n">
        <v>0.180127645107588</v>
      </c>
      <c r="E2173" s="6" t="n">
        <v>0.0244860157198151</v>
      </c>
      <c r="F2173" s="7" t="n">
        <v>1.89010321789272E-013</v>
      </c>
    </row>
    <row r="2174" customFormat="false" ht="15" hidden="false" customHeight="true" outlineLevel="0" collapsed="false">
      <c r="A2174" s="5" t="s">
        <v>88</v>
      </c>
      <c r="B2174" s="5" t="s">
        <v>86</v>
      </c>
      <c r="C2174" s="5" t="s">
        <v>572</v>
      </c>
      <c r="D2174" s="6" t="n">
        <v>0.180581591068051</v>
      </c>
      <c r="E2174" s="6" t="n">
        <v>0.0245060816478448</v>
      </c>
      <c r="F2174" s="7" t="n">
        <v>1.72108737605419E-013</v>
      </c>
    </row>
    <row r="2175" customFormat="false" ht="15" hidden="false" customHeight="true" outlineLevel="0" collapsed="false">
      <c r="A2175" s="5" t="s">
        <v>88</v>
      </c>
      <c r="B2175" s="5" t="s">
        <v>86</v>
      </c>
      <c r="C2175" s="5" t="s">
        <v>573</v>
      </c>
      <c r="D2175" s="6" t="n">
        <v>0.182104982576554</v>
      </c>
      <c r="E2175" s="6" t="n">
        <v>0.0244991636694949</v>
      </c>
      <c r="F2175" s="7" t="n">
        <v>1.06073482694917E-013</v>
      </c>
    </row>
    <row r="2176" customFormat="false" ht="15" hidden="false" customHeight="true" outlineLevel="0" collapsed="false">
      <c r="A2176" s="5" t="s">
        <v>88</v>
      </c>
      <c r="B2176" s="5" t="s">
        <v>86</v>
      </c>
      <c r="C2176" s="5" t="s">
        <v>574</v>
      </c>
      <c r="D2176" s="6" t="n">
        <v>0.180384511991308</v>
      </c>
      <c r="E2176" s="6" t="n">
        <v>0.0245016866460062</v>
      </c>
      <c r="F2176" s="7" t="n">
        <v>1.8100356984473E-013</v>
      </c>
    </row>
    <row r="2177" customFormat="false" ht="15" hidden="false" customHeight="true" outlineLevel="0" collapsed="false">
      <c r="A2177" s="5" t="s">
        <v>88</v>
      </c>
      <c r="B2177" s="5" t="s">
        <v>86</v>
      </c>
      <c r="C2177" s="5" t="s">
        <v>575</v>
      </c>
      <c r="D2177" s="6" t="n">
        <v>0.181239128886772</v>
      </c>
      <c r="E2177" s="6" t="n">
        <v>0.0245349253256121</v>
      </c>
      <c r="F2177" s="7" t="n">
        <v>1.50195371982267E-013</v>
      </c>
    </row>
    <row r="2178" customFormat="false" ht="15" hidden="false" customHeight="true" outlineLevel="0" collapsed="false">
      <c r="A2178" s="5" t="s">
        <v>88</v>
      </c>
      <c r="B2178" s="5" t="s">
        <v>86</v>
      </c>
      <c r="C2178" s="5" t="s">
        <v>576</v>
      </c>
      <c r="D2178" s="6" t="n">
        <v>0.185881225608112</v>
      </c>
      <c r="E2178" s="6" t="n">
        <v>0.0243990633772601</v>
      </c>
      <c r="F2178" s="7" t="n">
        <v>2.56888176378786E-014</v>
      </c>
    </row>
    <row r="2179" customFormat="false" ht="15" hidden="false" customHeight="true" outlineLevel="0" collapsed="false">
      <c r="A2179" s="5" t="s">
        <v>88</v>
      </c>
      <c r="B2179" s="5" t="s">
        <v>86</v>
      </c>
      <c r="C2179" s="5" t="s">
        <v>784</v>
      </c>
      <c r="D2179" s="6" t="n">
        <v>0.182874026951161</v>
      </c>
      <c r="E2179" s="6" t="n">
        <v>0.0244669569035443</v>
      </c>
      <c r="F2179" s="7" t="n">
        <v>7.76001914820571E-014</v>
      </c>
    </row>
    <row r="2180" customFormat="false" ht="15" hidden="false" customHeight="true" outlineLevel="0" collapsed="false">
      <c r="A2180" s="5" t="s">
        <v>88</v>
      </c>
      <c r="B2180" s="5" t="s">
        <v>86</v>
      </c>
      <c r="C2180" s="5" t="s">
        <v>577</v>
      </c>
      <c r="D2180" s="6" t="n">
        <v>0.18213566615279</v>
      </c>
      <c r="E2180" s="6" t="n">
        <v>0.0244821291093994</v>
      </c>
      <c r="F2180" s="7" t="n">
        <v>1.01040023313952E-013</v>
      </c>
    </row>
    <row r="2181" customFormat="false" ht="15" hidden="false" customHeight="true" outlineLevel="0" collapsed="false">
      <c r="A2181" s="5" t="s">
        <v>88</v>
      </c>
      <c r="B2181" s="5" t="s">
        <v>86</v>
      </c>
      <c r="C2181" s="5" t="s">
        <v>578</v>
      </c>
      <c r="D2181" s="6" t="n">
        <v>0.181615714435228</v>
      </c>
      <c r="E2181" s="6" t="n">
        <v>0.0245254570560324</v>
      </c>
      <c r="F2181" s="7" t="n">
        <v>1.30961012039622E-013</v>
      </c>
    </row>
    <row r="2182" customFormat="false" ht="15" hidden="false" customHeight="true" outlineLevel="0" collapsed="false">
      <c r="A2182" s="5" t="s">
        <v>88</v>
      </c>
      <c r="B2182" s="5" t="s">
        <v>86</v>
      </c>
      <c r="C2182" s="5" t="s">
        <v>579</v>
      </c>
      <c r="D2182" s="6" t="n">
        <v>0.18280270931401</v>
      </c>
      <c r="E2182" s="6" t="n">
        <v>0.0244509275911145</v>
      </c>
      <c r="F2182" s="7" t="n">
        <v>7.64386463574876E-014</v>
      </c>
    </row>
    <row r="2183" customFormat="false" ht="15" hidden="false" customHeight="true" outlineLevel="0" collapsed="false">
      <c r="A2183" s="5" t="s">
        <v>88</v>
      </c>
      <c r="B2183" s="5" t="s">
        <v>86</v>
      </c>
      <c r="C2183" s="5" t="s">
        <v>580</v>
      </c>
      <c r="D2183" s="6" t="n">
        <v>0.182080361221877</v>
      </c>
      <c r="E2183" s="6" t="n">
        <v>0.0245065450771217</v>
      </c>
      <c r="F2183" s="7" t="n">
        <v>1.08707240499337E-013</v>
      </c>
    </row>
    <row r="2184" customFormat="false" ht="15" hidden="false" customHeight="true" outlineLevel="0" collapsed="false">
      <c r="A2184" s="5" t="s">
        <v>88</v>
      </c>
      <c r="B2184" s="5" t="s">
        <v>86</v>
      </c>
      <c r="C2184" s="5" t="s">
        <v>581</v>
      </c>
      <c r="D2184" s="6" t="n">
        <v>0.181124576001001</v>
      </c>
      <c r="E2184" s="6" t="n">
        <v>0.024530850284374</v>
      </c>
      <c r="F2184" s="7" t="n">
        <v>1.54132418050945E-013</v>
      </c>
    </row>
    <row r="2185" customFormat="false" ht="15" hidden="false" customHeight="true" outlineLevel="0" collapsed="false">
      <c r="A2185" s="5" t="s">
        <v>88</v>
      </c>
      <c r="B2185" s="5" t="s">
        <v>86</v>
      </c>
      <c r="C2185" s="5" t="s">
        <v>582</v>
      </c>
      <c r="D2185" s="6" t="n">
        <v>0.184765797262524</v>
      </c>
      <c r="E2185" s="6" t="n">
        <v>0.0244948735330366</v>
      </c>
      <c r="F2185" s="7" t="n">
        <v>4.59142200344827E-014</v>
      </c>
    </row>
    <row r="2186" customFormat="false" ht="15" hidden="false" customHeight="true" outlineLevel="0" collapsed="false">
      <c r="A2186" s="5" t="s">
        <v>88</v>
      </c>
      <c r="B2186" s="5" t="s">
        <v>86</v>
      </c>
      <c r="C2186" s="5" t="s">
        <v>583</v>
      </c>
      <c r="D2186" s="6" t="n">
        <v>0.181519515548321</v>
      </c>
      <c r="E2186" s="6" t="n">
        <v>0.0245258789080294</v>
      </c>
      <c r="F2186" s="7" t="n">
        <v>1.35018126416408E-013</v>
      </c>
    </row>
    <row r="2187" customFormat="false" ht="15" hidden="false" customHeight="true" outlineLevel="0" collapsed="false">
      <c r="A2187" s="5" t="s">
        <v>88</v>
      </c>
      <c r="B2187" s="5" t="s">
        <v>86</v>
      </c>
      <c r="C2187" s="5" t="s">
        <v>584</v>
      </c>
      <c r="D2187" s="6" t="n">
        <v>0.179960275093528</v>
      </c>
      <c r="E2187" s="6" t="n">
        <v>0.0245058754956453</v>
      </c>
      <c r="F2187" s="7" t="n">
        <v>2.07991928262359E-013</v>
      </c>
    </row>
    <row r="2188" customFormat="false" ht="15" hidden="false" customHeight="true" outlineLevel="0" collapsed="false">
      <c r="A2188" s="5" t="s">
        <v>88</v>
      </c>
      <c r="B2188" s="5" t="s">
        <v>86</v>
      </c>
      <c r="C2188" s="5" t="s">
        <v>585</v>
      </c>
      <c r="D2188" s="6" t="n">
        <v>0.182156888911994</v>
      </c>
      <c r="E2188" s="6" t="n">
        <v>0.0244915754814737</v>
      </c>
      <c r="F2188" s="7" t="n">
        <v>1.02583341591024E-013</v>
      </c>
    </row>
    <row r="2189" customFormat="false" ht="15" hidden="false" customHeight="true" outlineLevel="0" collapsed="false">
      <c r="A2189" s="5" t="s">
        <v>88</v>
      </c>
      <c r="B2189" s="5" t="s">
        <v>86</v>
      </c>
      <c r="C2189" s="5" t="s">
        <v>586</v>
      </c>
      <c r="D2189" s="6" t="n">
        <v>0.181197634200198</v>
      </c>
      <c r="E2189" s="6" t="n">
        <v>0.0245496342071969</v>
      </c>
      <c r="F2189" s="7" t="n">
        <v>1.57259677314718E-013</v>
      </c>
    </row>
    <row r="2190" customFormat="false" ht="15" hidden="false" customHeight="true" outlineLevel="0" collapsed="false">
      <c r="A2190" s="5" t="s">
        <v>88</v>
      </c>
      <c r="B2190" s="5" t="s">
        <v>86</v>
      </c>
      <c r="C2190" s="5" t="s">
        <v>587</v>
      </c>
      <c r="D2190" s="6" t="n">
        <v>0.181106271546548</v>
      </c>
      <c r="E2190" s="6" t="n">
        <v>0.0245224866847204</v>
      </c>
      <c r="F2190" s="7" t="n">
        <v>1.52093677932639E-013</v>
      </c>
    </row>
    <row r="2191" customFormat="false" ht="15" hidden="false" customHeight="true" outlineLevel="0" collapsed="false">
      <c r="A2191" s="5" t="s">
        <v>88</v>
      </c>
      <c r="B2191" s="5" t="s">
        <v>86</v>
      </c>
      <c r="C2191" s="5" t="s">
        <v>588</v>
      </c>
      <c r="D2191" s="6" t="n">
        <v>0.181423195924414</v>
      </c>
      <c r="E2191" s="6" t="n">
        <v>0.024530943176649</v>
      </c>
      <c r="F2191" s="7" t="n">
        <v>1.40678233798519E-013</v>
      </c>
    </row>
    <row r="2192" customFormat="false" ht="15" hidden="false" customHeight="true" outlineLevel="0" collapsed="false">
      <c r="A2192" s="5" t="s">
        <v>88</v>
      </c>
      <c r="B2192" s="5" t="s">
        <v>86</v>
      </c>
      <c r="C2192" s="5" t="s">
        <v>589</v>
      </c>
      <c r="D2192" s="6" t="n">
        <v>0.181756429856522</v>
      </c>
      <c r="E2192" s="6" t="n">
        <v>0.0245360196692197</v>
      </c>
      <c r="F2192" s="7" t="n">
        <v>1.28470820709362E-013</v>
      </c>
    </row>
    <row r="2193" customFormat="false" ht="15" hidden="false" customHeight="true" outlineLevel="0" collapsed="false">
      <c r="A2193" s="5" t="s">
        <v>88</v>
      </c>
      <c r="B2193" s="5" t="s">
        <v>86</v>
      </c>
      <c r="C2193" s="5" t="s">
        <v>590</v>
      </c>
      <c r="D2193" s="6" t="n">
        <v>0.180713647754175</v>
      </c>
      <c r="E2193" s="6" t="n">
        <v>0.0245152919660806</v>
      </c>
      <c r="F2193" s="7" t="n">
        <v>1.68761469978797E-013</v>
      </c>
    </row>
    <row r="2194" customFormat="false" ht="15" hidden="false" customHeight="true" outlineLevel="0" collapsed="false">
      <c r="A2194" s="5" t="s">
        <v>88</v>
      </c>
      <c r="B2194" s="5" t="s">
        <v>86</v>
      </c>
      <c r="C2194" s="5" t="s">
        <v>591</v>
      </c>
      <c r="D2194" s="6" t="n">
        <v>0.181539119804109</v>
      </c>
      <c r="E2194" s="6" t="n">
        <v>0.0245252082728931</v>
      </c>
      <c r="F2194" s="7" t="n">
        <v>1.34003211807081E-013</v>
      </c>
    </row>
    <row r="2195" customFormat="false" ht="15" hidden="false" customHeight="true" outlineLevel="0" collapsed="false">
      <c r="A2195" s="5" t="s">
        <v>88</v>
      </c>
      <c r="B2195" s="5" t="s">
        <v>86</v>
      </c>
      <c r="C2195" s="5" t="s">
        <v>592</v>
      </c>
      <c r="D2195" s="6" t="n">
        <v>0.18072042962796</v>
      </c>
      <c r="E2195" s="6" t="n">
        <v>0.0245159369646328</v>
      </c>
      <c r="F2195" s="7" t="n">
        <v>1.68656801426943E-013</v>
      </c>
    </row>
    <row r="2196" customFormat="false" ht="15" hidden="false" customHeight="true" outlineLevel="0" collapsed="false">
      <c r="A2196" s="5" t="s">
        <v>88</v>
      </c>
      <c r="B2196" s="5" t="s">
        <v>86</v>
      </c>
      <c r="C2196" s="5" t="s">
        <v>593</v>
      </c>
      <c r="D2196" s="6" t="n">
        <v>0.182762488917913</v>
      </c>
      <c r="E2196" s="6" t="n">
        <v>0.0244268366014714</v>
      </c>
      <c r="F2196" s="7" t="n">
        <v>7.31794787837369E-014</v>
      </c>
    </row>
    <row r="2197" customFormat="false" ht="15" hidden="false" customHeight="true" outlineLevel="0" collapsed="false">
      <c r="A2197" s="5" t="s">
        <v>88</v>
      </c>
      <c r="B2197" s="5" t="s">
        <v>86</v>
      </c>
      <c r="C2197" s="5" t="s">
        <v>594</v>
      </c>
      <c r="D2197" s="6" t="n">
        <v>0.179667203507143</v>
      </c>
      <c r="E2197" s="6" t="n">
        <v>0.0243841092989252</v>
      </c>
      <c r="F2197" s="7" t="n">
        <v>1.72936063437574E-013</v>
      </c>
    </row>
    <row r="2198" customFormat="false" ht="15" hidden="false" customHeight="true" outlineLevel="0" collapsed="false">
      <c r="A2198" s="5" t="s">
        <v>88</v>
      </c>
      <c r="B2198" s="5" t="s">
        <v>86</v>
      </c>
      <c r="C2198" s="5" t="s">
        <v>595</v>
      </c>
      <c r="D2198" s="6" t="n">
        <v>0.180774361733001</v>
      </c>
      <c r="E2198" s="6" t="n">
        <v>0.024511549144236</v>
      </c>
      <c r="F2198" s="7" t="n">
        <v>1.64260183547085E-013</v>
      </c>
    </row>
    <row r="2199" customFormat="false" ht="15" hidden="false" customHeight="true" outlineLevel="0" collapsed="false">
      <c r="A2199" s="5" t="s">
        <v>88</v>
      </c>
      <c r="B2199" s="5" t="s">
        <v>86</v>
      </c>
      <c r="C2199" s="5" t="s">
        <v>596</v>
      </c>
      <c r="D2199" s="6" t="n">
        <v>0.182606226230043</v>
      </c>
      <c r="E2199" s="6" t="n">
        <v>0.0244873095581001</v>
      </c>
      <c r="F2199" s="7" t="n">
        <v>8.83952473424596E-014</v>
      </c>
    </row>
    <row r="2200" customFormat="false" ht="15" hidden="false" customHeight="true" outlineLevel="0" collapsed="false">
      <c r="A2200" s="5" t="s">
        <v>88</v>
      </c>
      <c r="B2200" s="5" t="s">
        <v>86</v>
      </c>
      <c r="C2200" s="5" t="s">
        <v>597</v>
      </c>
      <c r="D2200" s="6" t="n">
        <v>0.18159772108987</v>
      </c>
      <c r="E2200" s="6" t="n">
        <v>0.0245270392124082</v>
      </c>
      <c r="F2200" s="7" t="n">
        <v>1.32161797632836E-013</v>
      </c>
    </row>
    <row r="2201" customFormat="false" ht="15" hidden="false" customHeight="true" outlineLevel="0" collapsed="false">
      <c r="A2201" s="5" t="s">
        <v>88</v>
      </c>
      <c r="B2201" s="5" t="s">
        <v>86</v>
      </c>
      <c r="C2201" s="5" t="s">
        <v>598</v>
      </c>
      <c r="D2201" s="6" t="n">
        <v>0.177853911243538</v>
      </c>
      <c r="E2201" s="6" t="n">
        <v>0.0245238687952469</v>
      </c>
      <c r="F2201" s="7" t="n">
        <v>4.09819982130925E-013</v>
      </c>
    </row>
    <row r="2202" customFormat="false" ht="15" hidden="false" customHeight="true" outlineLevel="0" collapsed="false">
      <c r="A2202" s="5" t="s">
        <v>88</v>
      </c>
      <c r="B2202" s="5" t="s">
        <v>86</v>
      </c>
      <c r="C2202" s="5" t="s">
        <v>599</v>
      </c>
      <c r="D2202" s="6" t="n">
        <v>0.182436045418434</v>
      </c>
      <c r="E2202" s="6" t="n">
        <v>0.0245043357276733</v>
      </c>
      <c r="F2202" s="7" t="n">
        <v>9.69064893069136E-014</v>
      </c>
    </row>
    <row r="2203" customFormat="false" ht="15" hidden="false" customHeight="true" outlineLevel="0" collapsed="false">
      <c r="A2203" s="5" t="s">
        <v>88</v>
      </c>
      <c r="B2203" s="5" t="s">
        <v>86</v>
      </c>
      <c r="C2203" s="5" t="s">
        <v>600</v>
      </c>
      <c r="D2203" s="6" t="n">
        <v>0.180764346579302</v>
      </c>
      <c r="E2203" s="6" t="n">
        <v>0.0245459986207128</v>
      </c>
      <c r="F2203" s="7" t="n">
        <v>1.78065278638872E-013</v>
      </c>
    </row>
    <row r="2204" customFormat="false" ht="15" hidden="false" customHeight="true" outlineLevel="0" collapsed="false">
      <c r="A2204" s="5" t="s">
        <v>88</v>
      </c>
      <c r="B2204" s="5" t="s">
        <v>86</v>
      </c>
      <c r="C2204" s="5" t="s">
        <v>601</v>
      </c>
      <c r="D2204" s="6" t="n">
        <v>0.180848567235231</v>
      </c>
      <c r="E2204" s="6" t="n">
        <v>0.0245131336069536</v>
      </c>
      <c r="F2204" s="7" t="n">
        <v>1.61144976495939E-013</v>
      </c>
    </row>
    <row r="2205" customFormat="false" ht="15" hidden="false" customHeight="true" outlineLevel="0" collapsed="false">
      <c r="A2205" s="5" t="s">
        <v>88</v>
      </c>
      <c r="B2205" s="5" t="s">
        <v>86</v>
      </c>
      <c r="C2205" s="5" t="s">
        <v>602</v>
      </c>
      <c r="D2205" s="6" t="n">
        <v>0.181356721215038</v>
      </c>
      <c r="E2205" s="6" t="n">
        <v>0.0245214328709734</v>
      </c>
      <c r="F2205" s="7" t="n">
        <v>1.40511639039302E-013</v>
      </c>
    </row>
    <row r="2206" customFormat="false" ht="15" hidden="false" customHeight="true" outlineLevel="0" collapsed="false">
      <c r="A2206" s="5" t="s">
        <v>88</v>
      </c>
      <c r="B2206" s="5" t="s">
        <v>86</v>
      </c>
      <c r="C2206" s="5" t="s">
        <v>603</v>
      </c>
      <c r="D2206" s="6" t="n">
        <v>0.182380951802321</v>
      </c>
      <c r="E2206" s="6" t="n">
        <v>0.0245007417604434</v>
      </c>
      <c r="F2206" s="7" t="n">
        <v>9.77591297345581E-014</v>
      </c>
    </row>
    <row r="2207" customFormat="false" ht="15" hidden="false" customHeight="true" outlineLevel="0" collapsed="false">
      <c r="A2207" s="5" t="s">
        <v>88</v>
      </c>
      <c r="B2207" s="5" t="s">
        <v>86</v>
      </c>
      <c r="C2207" s="5" t="s">
        <v>604</v>
      </c>
      <c r="D2207" s="6" t="n">
        <v>0.181376785237533</v>
      </c>
      <c r="E2207" s="6" t="n">
        <v>0.0245481866405458</v>
      </c>
      <c r="F2207" s="7" t="n">
        <v>1.48380380696946E-013</v>
      </c>
    </row>
    <row r="2208" customFormat="false" ht="15" hidden="false" customHeight="true" outlineLevel="0" collapsed="false">
      <c r="A2208" s="5" t="s">
        <v>88</v>
      </c>
      <c r="B2208" s="5" t="s">
        <v>86</v>
      </c>
      <c r="C2208" s="5" t="s">
        <v>605</v>
      </c>
      <c r="D2208" s="6" t="n">
        <v>0.182237635491694</v>
      </c>
      <c r="E2208" s="6" t="n">
        <v>0.0244962080930101</v>
      </c>
      <c r="F2208" s="7" t="n">
        <v>1.01126599600146E-013</v>
      </c>
    </row>
    <row r="2209" customFormat="false" ht="15" hidden="false" customHeight="true" outlineLevel="0" collapsed="false">
      <c r="A2209" s="5" t="s">
        <v>88</v>
      </c>
      <c r="B2209" s="5" t="s">
        <v>86</v>
      </c>
      <c r="C2209" s="5" t="s">
        <v>606</v>
      </c>
      <c r="D2209" s="6" t="n">
        <v>0.180278227436891</v>
      </c>
      <c r="E2209" s="6" t="n">
        <v>0.0245110873864713</v>
      </c>
      <c r="F2209" s="7" t="n">
        <v>1.90974957915307E-013</v>
      </c>
    </row>
    <row r="2210" customFormat="false" ht="15" hidden="false" customHeight="true" outlineLevel="0" collapsed="false">
      <c r="A2210" s="5" t="s">
        <v>88</v>
      </c>
      <c r="B2210" s="5" t="s">
        <v>86</v>
      </c>
      <c r="C2210" s="5" t="s">
        <v>607</v>
      </c>
      <c r="D2210" s="6" t="n">
        <v>0.18237479910262</v>
      </c>
      <c r="E2210" s="6" t="n">
        <v>0.0245082485688108</v>
      </c>
      <c r="F2210" s="7" t="n">
        <v>9.96509265498083E-014</v>
      </c>
    </row>
    <row r="2211" customFormat="false" ht="15" hidden="false" customHeight="true" outlineLevel="0" collapsed="false">
      <c r="A2211" s="5" t="s">
        <v>88</v>
      </c>
      <c r="B2211" s="5" t="s">
        <v>86</v>
      </c>
      <c r="C2211" s="5" t="s">
        <v>608</v>
      </c>
      <c r="D2211" s="6" t="n">
        <v>0.181985368238733</v>
      </c>
      <c r="E2211" s="6" t="n">
        <v>0.0245005111837562</v>
      </c>
      <c r="F2211" s="7" t="n">
        <v>1.10402691195397E-013</v>
      </c>
    </row>
    <row r="2212" customFormat="false" ht="15" hidden="false" customHeight="true" outlineLevel="0" collapsed="false">
      <c r="A2212" s="5" t="s">
        <v>88</v>
      </c>
      <c r="B2212" s="5" t="s">
        <v>86</v>
      </c>
      <c r="C2212" s="5" t="s">
        <v>609</v>
      </c>
      <c r="D2212" s="6" t="n">
        <v>0.181084283835994</v>
      </c>
      <c r="E2212" s="6" t="n">
        <v>0.024534698393078</v>
      </c>
      <c r="F2212" s="7" t="n">
        <v>1.57409540068529E-013</v>
      </c>
    </row>
    <row r="2213" customFormat="false" ht="15" hidden="false" customHeight="true" outlineLevel="0" collapsed="false">
      <c r="A2213" s="5" t="s">
        <v>88</v>
      </c>
      <c r="B2213" s="5" t="s">
        <v>86</v>
      </c>
      <c r="C2213" s="5" t="s">
        <v>610</v>
      </c>
      <c r="D2213" s="6" t="n">
        <v>0.181601850935505</v>
      </c>
      <c r="E2213" s="6" t="n">
        <v>0.0245359179763051</v>
      </c>
      <c r="F2213" s="7" t="n">
        <v>1.34685517597677E-013</v>
      </c>
    </row>
    <row r="2214" customFormat="false" ht="15" hidden="false" customHeight="true" outlineLevel="0" collapsed="false">
      <c r="A2214" s="5" t="s">
        <v>88</v>
      </c>
      <c r="B2214" s="5" t="s">
        <v>86</v>
      </c>
      <c r="C2214" s="5" t="s">
        <v>611</v>
      </c>
      <c r="D2214" s="6" t="n">
        <v>0.18137036874885</v>
      </c>
      <c r="E2214" s="6" t="n">
        <v>0.0245517534686997</v>
      </c>
      <c r="F2214" s="7" t="n">
        <v>1.49876963944312E-013</v>
      </c>
    </row>
    <row r="2215" customFormat="false" ht="15" hidden="false" customHeight="true" outlineLevel="0" collapsed="false">
      <c r="A2215" s="5" t="s">
        <v>88</v>
      </c>
      <c r="B2215" s="5" t="s">
        <v>86</v>
      </c>
      <c r="C2215" s="5" t="s">
        <v>612</v>
      </c>
      <c r="D2215" s="6" t="n">
        <v>0.181331934451681</v>
      </c>
      <c r="E2215" s="6" t="n">
        <v>0.024536874250769</v>
      </c>
      <c r="F2215" s="7" t="n">
        <v>1.46629409653036E-013</v>
      </c>
    </row>
    <row r="2216" customFormat="false" ht="15" hidden="false" customHeight="true" outlineLevel="0" collapsed="false">
      <c r="A2216" s="5" t="s">
        <v>88</v>
      </c>
      <c r="B2216" s="5" t="s">
        <v>86</v>
      </c>
      <c r="C2216" s="5" t="s">
        <v>613</v>
      </c>
      <c r="D2216" s="6" t="n">
        <v>0.181808548988123</v>
      </c>
      <c r="E2216" s="6" t="n">
        <v>0.0245233079684791</v>
      </c>
      <c r="F2216" s="7" t="n">
        <v>1.22819782469707E-013</v>
      </c>
    </row>
    <row r="2217" customFormat="false" ht="15" hidden="false" customHeight="true" outlineLevel="0" collapsed="false">
      <c r="A2217" s="5" t="s">
        <v>88</v>
      </c>
      <c r="B2217" s="5" t="s">
        <v>86</v>
      </c>
      <c r="C2217" s="5" t="s">
        <v>614</v>
      </c>
      <c r="D2217" s="6" t="n">
        <v>0.180557062437097</v>
      </c>
      <c r="E2217" s="6" t="n">
        <v>0.0245465320557392</v>
      </c>
      <c r="F2217" s="7" t="n">
        <v>1.89921233309775E-013</v>
      </c>
    </row>
    <row r="2218" customFormat="false" ht="15" hidden="false" customHeight="true" outlineLevel="0" collapsed="false">
      <c r="A2218" s="5" t="s">
        <v>88</v>
      </c>
      <c r="B2218" s="5" t="s">
        <v>86</v>
      </c>
      <c r="C2218" s="5" t="s">
        <v>615</v>
      </c>
      <c r="D2218" s="6" t="n">
        <v>0.181808825696238</v>
      </c>
      <c r="E2218" s="6" t="n">
        <v>0.0245029915691363</v>
      </c>
      <c r="F2218" s="7" t="n">
        <v>1.17242079450594E-013</v>
      </c>
    </row>
    <row r="2219" customFormat="false" ht="15" hidden="false" customHeight="true" outlineLevel="0" collapsed="false">
      <c r="A2219" s="5" t="s">
        <v>88</v>
      </c>
      <c r="B2219" s="5" t="s">
        <v>86</v>
      </c>
      <c r="C2219" s="5" t="s">
        <v>616</v>
      </c>
      <c r="D2219" s="6" t="n">
        <v>0.181471068401721</v>
      </c>
      <c r="E2219" s="6" t="n">
        <v>0.0245230253046236</v>
      </c>
      <c r="F2219" s="7" t="n">
        <v>1.36156015211811E-013</v>
      </c>
    </row>
    <row r="2220" customFormat="false" ht="15" hidden="false" customHeight="true" outlineLevel="0" collapsed="false">
      <c r="A2220" s="5" t="s">
        <v>88</v>
      </c>
      <c r="B2220" s="5" t="s">
        <v>86</v>
      </c>
      <c r="C2220" s="5" t="s">
        <v>617</v>
      </c>
      <c r="D2220" s="6" t="n">
        <v>0.181970412724721</v>
      </c>
      <c r="E2220" s="6" t="n">
        <v>0.0245027641265454</v>
      </c>
      <c r="F2220" s="7" t="n">
        <v>1.11487063694645E-013</v>
      </c>
    </row>
    <row r="2221" customFormat="false" ht="15" hidden="false" customHeight="true" outlineLevel="0" collapsed="false">
      <c r="A2221" s="5" t="s">
        <v>88</v>
      </c>
      <c r="B2221" s="5" t="s">
        <v>86</v>
      </c>
      <c r="C2221" s="5" t="s">
        <v>618</v>
      </c>
      <c r="D2221" s="6" t="n">
        <v>0.179034598447668</v>
      </c>
      <c r="E2221" s="6" t="n">
        <v>0.0244544898610317</v>
      </c>
      <c r="F2221" s="7" t="n">
        <v>2.45884057374108E-013</v>
      </c>
    </row>
    <row r="2222" customFormat="false" ht="15" hidden="false" customHeight="true" outlineLevel="0" collapsed="false">
      <c r="A2222" s="5" t="s">
        <v>88</v>
      </c>
      <c r="B2222" s="5" t="s">
        <v>86</v>
      </c>
      <c r="C2222" s="5" t="s">
        <v>619</v>
      </c>
      <c r="D2222" s="6" t="n">
        <v>0.180886041973676</v>
      </c>
      <c r="E2222" s="6" t="n">
        <v>0.0245600559381534</v>
      </c>
      <c r="F2222" s="7" t="n">
        <v>1.77080376313699E-013</v>
      </c>
    </row>
    <row r="2223" customFormat="false" ht="15" hidden="false" customHeight="true" outlineLevel="0" collapsed="false">
      <c r="A2223" s="5" t="s">
        <v>88</v>
      </c>
      <c r="B2223" s="5" t="s">
        <v>86</v>
      </c>
      <c r="C2223" s="5" t="s">
        <v>620</v>
      </c>
      <c r="D2223" s="6" t="n">
        <v>0.180727878918261</v>
      </c>
      <c r="E2223" s="6" t="n">
        <v>0.0245126610541955</v>
      </c>
      <c r="F2223" s="7" t="n">
        <v>1.67033416203723E-013</v>
      </c>
    </row>
    <row r="2224" customFormat="false" ht="15" hidden="false" customHeight="true" outlineLevel="0" collapsed="false">
      <c r="A2224" s="5" t="s">
        <v>88</v>
      </c>
      <c r="B2224" s="5" t="s">
        <v>86</v>
      </c>
      <c r="C2224" s="5" t="s">
        <v>621</v>
      </c>
      <c r="D2224" s="6" t="n">
        <v>0.181675020177369</v>
      </c>
      <c r="E2224" s="6" t="n">
        <v>0.0245302453176055</v>
      </c>
      <c r="F2224" s="7" t="n">
        <v>1.30005031790965E-013</v>
      </c>
    </row>
    <row r="2225" customFormat="false" ht="15" hidden="false" customHeight="true" outlineLevel="0" collapsed="false">
      <c r="A2225" s="5" t="s">
        <v>88</v>
      </c>
      <c r="B2225" s="5" t="s">
        <v>86</v>
      </c>
      <c r="C2225" s="5" t="s">
        <v>622</v>
      </c>
      <c r="D2225" s="6" t="n">
        <v>0.181976971860843</v>
      </c>
      <c r="E2225" s="6" t="n">
        <v>0.0245102826616309</v>
      </c>
      <c r="F2225" s="7" t="n">
        <v>1.13193546287584E-013</v>
      </c>
    </row>
    <row r="2226" customFormat="false" ht="15" hidden="false" customHeight="true" outlineLevel="0" collapsed="false">
      <c r="A2226" s="5" t="s">
        <v>88</v>
      </c>
      <c r="B2226" s="5" t="s">
        <v>86</v>
      </c>
      <c r="C2226" s="5" t="s">
        <v>623</v>
      </c>
      <c r="D2226" s="6" t="n">
        <v>0.182680406093743</v>
      </c>
      <c r="E2226" s="6" t="n">
        <v>0.0244516404528944</v>
      </c>
      <c r="F2226" s="7" t="n">
        <v>7.95332415014319E-014</v>
      </c>
    </row>
    <row r="2227" customFormat="false" ht="15" hidden="false" customHeight="true" outlineLevel="0" collapsed="false">
      <c r="A2227" s="5" t="s">
        <v>88</v>
      </c>
      <c r="B2227" s="5" t="s">
        <v>86</v>
      </c>
      <c r="C2227" s="5" t="s">
        <v>624</v>
      </c>
      <c r="D2227" s="6" t="n">
        <v>0.181261110909312</v>
      </c>
      <c r="E2227" s="6" t="n">
        <v>0.0245224259271652</v>
      </c>
      <c r="F2227" s="7" t="n">
        <v>1.45021341979393E-013</v>
      </c>
    </row>
    <row r="2228" customFormat="false" ht="15" hidden="false" customHeight="true" outlineLevel="0" collapsed="false">
      <c r="A2228" s="5" t="s">
        <v>88</v>
      </c>
      <c r="B2228" s="5" t="s">
        <v>86</v>
      </c>
      <c r="C2228" s="5" t="s">
        <v>625</v>
      </c>
      <c r="D2228" s="6" t="n">
        <v>0.182537225192695</v>
      </c>
      <c r="E2228" s="6" t="n">
        <v>0.0244742830177555</v>
      </c>
      <c r="F2228" s="7" t="n">
        <v>8.76274506936265E-014</v>
      </c>
    </row>
    <row r="2229" customFormat="false" ht="15" hidden="false" customHeight="true" outlineLevel="0" collapsed="false">
      <c r="A2229" s="5" t="s">
        <v>88</v>
      </c>
      <c r="B2229" s="5" t="s">
        <v>86</v>
      </c>
      <c r="C2229" s="5" t="s">
        <v>626</v>
      </c>
      <c r="D2229" s="6" t="n">
        <v>0.1787701406556</v>
      </c>
      <c r="E2229" s="6" t="n">
        <v>0.0244505232161018</v>
      </c>
      <c r="F2229" s="7" t="n">
        <v>2.6416525337435E-013</v>
      </c>
    </row>
    <row r="2230" customFormat="false" ht="15" hidden="false" customHeight="true" outlineLevel="0" collapsed="false">
      <c r="A2230" s="5" t="s">
        <v>88</v>
      </c>
      <c r="B2230" s="5" t="s">
        <v>86</v>
      </c>
      <c r="C2230" s="5" t="s">
        <v>627</v>
      </c>
      <c r="D2230" s="6" t="n">
        <v>0.180958089137259</v>
      </c>
      <c r="E2230" s="6" t="n">
        <v>0.0245334295741385</v>
      </c>
      <c r="F2230" s="7" t="n">
        <v>1.63140342956397E-013</v>
      </c>
    </row>
    <row r="2231" customFormat="false" ht="15" hidden="false" customHeight="true" outlineLevel="0" collapsed="false">
      <c r="A2231" s="5" t="s">
        <v>88</v>
      </c>
      <c r="B2231" s="5" t="s">
        <v>86</v>
      </c>
      <c r="C2231" s="5" t="s">
        <v>628</v>
      </c>
      <c r="D2231" s="6" t="n">
        <v>0.183661212322789</v>
      </c>
      <c r="E2231" s="6" t="n">
        <v>0.024696981307763</v>
      </c>
      <c r="F2231" s="7" t="n">
        <v>1.03321126959538E-013</v>
      </c>
    </row>
    <row r="2232" customFormat="false" ht="15" hidden="false" customHeight="true" outlineLevel="0" collapsed="false">
      <c r="A2232" s="5" t="s">
        <v>88</v>
      </c>
      <c r="B2232" s="5" t="s">
        <v>86</v>
      </c>
      <c r="C2232" s="5" t="s">
        <v>629</v>
      </c>
      <c r="D2232" s="6" t="n">
        <v>0.182802206918326</v>
      </c>
      <c r="E2232" s="6" t="n">
        <v>0.0245096621418217</v>
      </c>
      <c r="F2232" s="7" t="n">
        <v>8.75972718699722E-014</v>
      </c>
    </row>
    <row r="2233" customFormat="false" ht="15" hidden="false" customHeight="true" outlineLevel="0" collapsed="false">
      <c r="A2233" s="5" t="s">
        <v>88</v>
      </c>
      <c r="B2233" s="5" t="s">
        <v>86</v>
      </c>
      <c r="C2233" s="5" t="s">
        <v>630</v>
      </c>
      <c r="D2233" s="6" t="n">
        <v>0.18090998492985</v>
      </c>
      <c r="E2233" s="6" t="n">
        <v>0.0245217289710882</v>
      </c>
      <c r="F2233" s="7" t="n">
        <v>1.61243476053987E-013</v>
      </c>
    </row>
    <row r="2234" customFormat="false" ht="15" hidden="false" customHeight="true" outlineLevel="0" collapsed="false">
      <c r="A2234" s="5" t="s">
        <v>88</v>
      </c>
      <c r="B2234" s="5" t="s">
        <v>86</v>
      </c>
      <c r="C2234" s="5" t="s">
        <v>631</v>
      </c>
      <c r="D2234" s="6" t="n">
        <v>0.17952755067682</v>
      </c>
      <c r="E2234" s="6" t="n">
        <v>0.0244649753489327</v>
      </c>
      <c r="F2234" s="7" t="n">
        <v>2.16573533591832E-013</v>
      </c>
    </row>
    <row r="2235" customFormat="false" ht="15" hidden="false" customHeight="true" outlineLevel="0" collapsed="false">
      <c r="A2235" s="5" t="s">
        <v>88</v>
      </c>
      <c r="B2235" s="5" t="s">
        <v>86</v>
      </c>
      <c r="C2235" s="5" t="s">
        <v>785</v>
      </c>
      <c r="D2235" s="6" t="n">
        <v>0.180459965980364</v>
      </c>
      <c r="E2235" s="6" t="n">
        <v>0.0244854147709156</v>
      </c>
      <c r="F2235" s="7" t="n">
        <v>1.70499541729346E-013</v>
      </c>
    </row>
    <row r="2236" customFormat="false" ht="15" hidden="false" customHeight="true" outlineLevel="0" collapsed="false">
      <c r="A2236" s="5" t="s">
        <v>88</v>
      </c>
      <c r="B2236" s="5" t="s">
        <v>86</v>
      </c>
      <c r="C2236" s="5" t="s">
        <v>786</v>
      </c>
      <c r="D2236" s="6" t="n">
        <v>0.179602027113042</v>
      </c>
      <c r="E2236" s="6" t="n">
        <v>0.0243726077645763</v>
      </c>
      <c r="F2236" s="7" t="n">
        <v>1.71897823579961E-013</v>
      </c>
    </row>
    <row r="2237" customFormat="false" ht="15" hidden="false" customHeight="true" outlineLevel="0" collapsed="false">
      <c r="A2237" s="5" t="s">
        <v>88</v>
      </c>
      <c r="B2237" s="5" t="s">
        <v>86</v>
      </c>
      <c r="C2237" s="5" t="s">
        <v>632</v>
      </c>
      <c r="D2237" s="6" t="n">
        <v>0.181095797500472</v>
      </c>
      <c r="E2237" s="6" t="n">
        <v>0.0245356954825589</v>
      </c>
      <c r="F2237" s="7" t="n">
        <v>1.57209459025707E-013</v>
      </c>
    </row>
    <row r="2238" customFormat="false" ht="15" hidden="false" customHeight="true" outlineLevel="0" collapsed="false">
      <c r="A2238" s="5" t="s">
        <v>88</v>
      </c>
      <c r="B2238" s="5" t="s">
        <v>86</v>
      </c>
      <c r="C2238" s="5" t="s">
        <v>633</v>
      </c>
      <c r="D2238" s="6" t="n">
        <v>0.1821913288705</v>
      </c>
      <c r="E2238" s="6" t="n">
        <v>0.0245019909118214</v>
      </c>
      <c r="F2238" s="7" t="n">
        <v>1.03955454497361E-013</v>
      </c>
    </row>
    <row r="2239" customFormat="false" ht="15" hidden="false" customHeight="true" outlineLevel="0" collapsed="false">
      <c r="A2239" s="5" t="s">
        <v>88</v>
      </c>
      <c r="B2239" s="5" t="s">
        <v>86</v>
      </c>
      <c r="C2239" s="5" t="s">
        <v>634</v>
      </c>
      <c r="D2239" s="6" t="n">
        <v>0.181466584835826</v>
      </c>
      <c r="E2239" s="6" t="n">
        <v>0.024535827558291</v>
      </c>
      <c r="F2239" s="7" t="n">
        <v>1.40365046573766E-013</v>
      </c>
    </row>
    <row r="2240" customFormat="false" ht="15" hidden="false" customHeight="true" outlineLevel="0" collapsed="false">
      <c r="A2240" s="5" t="s">
        <v>88</v>
      </c>
      <c r="B2240" s="5" t="s">
        <v>86</v>
      </c>
      <c r="C2240" s="5" t="s">
        <v>635</v>
      </c>
      <c r="D2240" s="6" t="n">
        <v>0.180044609703351</v>
      </c>
      <c r="E2240" s="6" t="n">
        <v>0.0244929091982775</v>
      </c>
      <c r="F2240" s="7" t="n">
        <v>1.96895713812942E-013</v>
      </c>
    </row>
    <row r="2241" customFormat="false" ht="15" hidden="false" customHeight="true" outlineLevel="0" collapsed="false">
      <c r="A2241" s="5" t="s">
        <v>88</v>
      </c>
      <c r="B2241" s="5" t="s">
        <v>86</v>
      </c>
      <c r="C2241" s="5" t="s">
        <v>636</v>
      </c>
      <c r="D2241" s="6" t="n">
        <v>0.183078926551625</v>
      </c>
      <c r="E2241" s="6" t="n">
        <v>0.0245183433100429</v>
      </c>
      <c r="F2241" s="7" t="n">
        <v>8.20321509208156E-014</v>
      </c>
    </row>
    <row r="2242" customFormat="false" ht="15" hidden="false" customHeight="true" outlineLevel="0" collapsed="false">
      <c r="A2242" s="5" t="s">
        <v>88</v>
      </c>
      <c r="B2242" s="5" t="s">
        <v>86</v>
      </c>
      <c r="C2242" s="5" t="s">
        <v>637</v>
      </c>
      <c r="D2242" s="6" t="n">
        <v>0.180285122510389</v>
      </c>
      <c r="E2242" s="6" t="n">
        <v>0.0244950282216363</v>
      </c>
      <c r="F2242" s="7" t="n">
        <v>1.83813804983211E-013</v>
      </c>
    </row>
    <row r="2243" customFormat="false" ht="15" hidden="false" customHeight="true" outlineLevel="0" collapsed="false">
      <c r="A2243" s="5" t="s">
        <v>88</v>
      </c>
      <c r="B2243" s="5" t="s">
        <v>86</v>
      </c>
      <c r="C2243" s="5" t="s">
        <v>638</v>
      </c>
      <c r="D2243" s="6" t="n">
        <v>0.1777867755227</v>
      </c>
      <c r="E2243" s="6" t="n">
        <v>0.0247647201342585</v>
      </c>
      <c r="F2243" s="7" t="n">
        <v>7.02055279454174E-013</v>
      </c>
    </row>
    <row r="2244" customFormat="false" ht="15" hidden="false" customHeight="true" outlineLevel="0" collapsed="false">
      <c r="A2244" s="5" t="s">
        <v>88</v>
      </c>
      <c r="B2244" s="5" t="s">
        <v>86</v>
      </c>
      <c r="C2244" s="5" t="s">
        <v>639</v>
      </c>
      <c r="D2244" s="6" t="n">
        <v>0.182086846884248</v>
      </c>
      <c r="E2244" s="6" t="n">
        <v>0.0245194665525385</v>
      </c>
      <c r="F2244" s="7" t="n">
        <v>1.11748731072506E-013</v>
      </c>
    </row>
    <row r="2245" customFormat="false" ht="15" hidden="false" customHeight="true" outlineLevel="0" collapsed="false">
      <c r="A2245" s="5" t="s">
        <v>88</v>
      </c>
      <c r="B2245" s="5" t="s">
        <v>86</v>
      </c>
      <c r="C2245" s="5" t="s">
        <v>640</v>
      </c>
      <c r="D2245" s="6" t="n">
        <v>0.181310411730929</v>
      </c>
      <c r="E2245" s="6" t="n">
        <v>0.0245260095514258</v>
      </c>
      <c r="F2245" s="7" t="n">
        <v>1.44010157197617E-013</v>
      </c>
    </row>
    <row r="2246" customFormat="false" ht="15" hidden="false" customHeight="true" outlineLevel="0" collapsed="false">
      <c r="A2246" s="5" t="s">
        <v>88</v>
      </c>
      <c r="B2246" s="5" t="s">
        <v>86</v>
      </c>
      <c r="C2246" s="5" t="s">
        <v>641</v>
      </c>
      <c r="D2246" s="6" t="n">
        <v>0.180424472724839</v>
      </c>
      <c r="E2246" s="6" t="n">
        <v>0.024475256142205</v>
      </c>
      <c r="F2246" s="7" t="n">
        <v>1.68454062772095E-013</v>
      </c>
    </row>
    <row r="2247" customFormat="false" ht="15" hidden="false" customHeight="true" outlineLevel="0" collapsed="false">
      <c r="A2247" s="5" t="s">
        <v>88</v>
      </c>
      <c r="B2247" s="5" t="s">
        <v>86</v>
      </c>
      <c r="C2247" s="5" t="s">
        <v>642</v>
      </c>
      <c r="D2247" s="6" t="n">
        <v>0.182219763276787</v>
      </c>
      <c r="E2247" s="6" t="n">
        <v>0.0245297381908297</v>
      </c>
      <c r="F2247" s="7" t="n">
        <v>1.09815670764069E-013</v>
      </c>
    </row>
    <row r="2248" customFormat="false" ht="15" hidden="false" customHeight="true" outlineLevel="0" collapsed="false">
      <c r="A2248" s="5" t="s">
        <v>88</v>
      </c>
      <c r="B2248" s="5" t="s">
        <v>86</v>
      </c>
      <c r="C2248" s="5" t="s">
        <v>643</v>
      </c>
      <c r="D2248" s="6" t="n">
        <v>0.181648007508894</v>
      </c>
      <c r="E2248" s="6" t="n">
        <v>0.0245187363147884</v>
      </c>
      <c r="F2248" s="7" t="n">
        <v>1.27698625313801E-013</v>
      </c>
    </row>
    <row r="2249" customFormat="false" ht="15" hidden="false" customHeight="true" outlineLevel="0" collapsed="false">
      <c r="A2249" s="5" t="s">
        <v>88</v>
      </c>
      <c r="B2249" s="5" t="s">
        <v>86</v>
      </c>
      <c r="C2249" s="5" t="s">
        <v>644</v>
      </c>
      <c r="D2249" s="6" t="n">
        <v>0.181268359768027</v>
      </c>
      <c r="E2249" s="6" t="n">
        <v>0.0245199769641621</v>
      </c>
      <c r="F2249" s="7" t="n">
        <v>1.43897774218044E-013</v>
      </c>
    </row>
    <row r="2250" customFormat="false" ht="15" hidden="false" customHeight="true" outlineLevel="0" collapsed="false">
      <c r="A2250" s="5" t="s">
        <v>88</v>
      </c>
      <c r="B2250" s="5" t="s">
        <v>86</v>
      </c>
      <c r="C2250" s="5" t="s">
        <v>645</v>
      </c>
      <c r="D2250" s="6" t="n">
        <v>0.180886736131261</v>
      </c>
      <c r="E2250" s="6" t="n">
        <v>0.0245189018679646</v>
      </c>
      <c r="F2250" s="7" t="n">
        <v>1.61361618157445E-013</v>
      </c>
    </row>
    <row r="2251" customFormat="false" ht="15" hidden="false" customHeight="true" outlineLevel="0" collapsed="false">
      <c r="A2251" s="5" t="s">
        <v>88</v>
      </c>
      <c r="B2251" s="5" t="s">
        <v>86</v>
      </c>
      <c r="C2251" s="5" t="s">
        <v>646</v>
      </c>
      <c r="D2251" s="6" t="n">
        <v>0.181430330841273</v>
      </c>
      <c r="E2251" s="6" t="n">
        <v>0.0245249771599019</v>
      </c>
      <c r="F2251" s="7" t="n">
        <v>1.3848234731974E-013</v>
      </c>
    </row>
    <row r="2252" customFormat="false" ht="15" hidden="false" customHeight="true" outlineLevel="0" collapsed="false">
      <c r="A2252" s="5" t="s">
        <v>88</v>
      </c>
      <c r="B2252" s="5" t="s">
        <v>86</v>
      </c>
      <c r="C2252" s="5" t="s">
        <v>647</v>
      </c>
      <c r="D2252" s="6" t="n">
        <v>0.181373881158666</v>
      </c>
      <c r="E2252" s="6" t="n">
        <v>0.0245389921122716</v>
      </c>
      <c r="F2252" s="7" t="n">
        <v>1.45452355114554E-013</v>
      </c>
    </row>
    <row r="2253" customFormat="false" ht="15" hidden="false" customHeight="true" outlineLevel="0" collapsed="false">
      <c r="A2253" s="5" t="s">
        <v>88</v>
      </c>
      <c r="B2253" s="5" t="s">
        <v>86</v>
      </c>
      <c r="C2253" s="5" t="s">
        <v>648</v>
      </c>
      <c r="D2253" s="6" t="n">
        <v>0.181017534224274</v>
      </c>
      <c r="E2253" s="6" t="n">
        <v>0.0245426676834933</v>
      </c>
      <c r="F2253" s="7" t="n">
        <v>1.6357479614604E-013</v>
      </c>
    </row>
    <row r="2254" customFormat="false" ht="15" hidden="false" customHeight="true" outlineLevel="0" collapsed="false">
      <c r="A2254" s="5" t="s">
        <v>88</v>
      </c>
      <c r="B2254" s="5" t="s">
        <v>86</v>
      </c>
      <c r="C2254" s="5" t="s">
        <v>649</v>
      </c>
      <c r="D2254" s="6" t="n">
        <v>0.18321055311821</v>
      </c>
      <c r="E2254" s="6" t="n">
        <v>0.0244181067814469</v>
      </c>
      <c r="F2254" s="7" t="n">
        <v>6.23443569169007E-014</v>
      </c>
    </row>
    <row r="2255" customFormat="false" ht="15" hidden="false" customHeight="true" outlineLevel="0" collapsed="false">
      <c r="A2255" s="5" t="s">
        <v>88</v>
      </c>
      <c r="B2255" s="5" t="s">
        <v>86</v>
      </c>
      <c r="C2255" s="5" t="s">
        <v>650</v>
      </c>
      <c r="D2255" s="6" t="n">
        <v>0.182937400819398</v>
      </c>
      <c r="E2255" s="6" t="n">
        <v>0.0244582970378506</v>
      </c>
      <c r="F2255" s="7" t="n">
        <v>7.45695254103429E-014</v>
      </c>
    </row>
    <row r="2256" customFormat="false" ht="15" hidden="false" customHeight="true" outlineLevel="0" collapsed="false">
      <c r="A2256" s="5" t="s">
        <v>88</v>
      </c>
      <c r="B2256" s="5" t="s">
        <v>86</v>
      </c>
      <c r="C2256" s="5" t="s">
        <v>651</v>
      </c>
      <c r="D2256" s="6" t="n">
        <v>0.181524450448297</v>
      </c>
      <c r="E2256" s="6" t="n">
        <v>0.0245199836647543</v>
      </c>
      <c r="F2256" s="7" t="n">
        <v>1.33018620347266E-013</v>
      </c>
    </row>
    <row r="2257" customFormat="false" ht="15" hidden="false" customHeight="true" outlineLevel="0" collapsed="false">
      <c r="A2257" s="5" t="s">
        <v>88</v>
      </c>
      <c r="B2257" s="5" t="s">
        <v>86</v>
      </c>
      <c r="C2257" s="5" t="s">
        <v>652</v>
      </c>
      <c r="D2257" s="6" t="n">
        <v>0.181089604896177</v>
      </c>
      <c r="E2257" s="6" t="n">
        <v>0.0245269826071836</v>
      </c>
      <c r="F2257" s="7" t="n">
        <v>1.54435590380432E-013</v>
      </c>
    </row>
    <row r="2258" customFormat="false" ht="15" hidden="false" customHeight="true" outlineLevel="0" collapsed="false">
      <c r="A2258" s="5" t="s">
        <v>88</v>
      </c>
      <c r="B2258" s="5" t="s">
        <v>86</v>
      </c>
      <c r="C2258" s="5" t="s">
        <v>653</v>
      </c>
      <c r="D2258" s="6" t="n">
        <v>0.181932366098162</v>
      </c>
      <c r="E2258" s="6" t="n">
        <v>0.0245088957667893</v>
      </c>
      <c r="F2258" s="7" t="n">
        <v>1.14396860795645E-013</v>
      </c>
    </row>
    <row r="2259" customFormat="false" ht="15" hidden="false" customHeight="true" outlineLevel="0" collapsed="false">
      <c r="A2259" s="5" t="s">
        <v>88</v>
      </c>
      <c r="B2259" s="5" t="s">
        <v>86</v>
      </c>
      <c r="C2259" s="5" t="s">
        <v>654</v>
      </c>
      <c r="D2259" s="6" t="n">
        <v>0.182331180498965</v>
      </c>
      <c r="E2259" s="6" t="n">
        <v>0.0244766897564906</v>
      </c>
      <c r="F2259" s="7" t="n">
        <v>9.39246948232913E-014</v>
      </c>
    </row>
    <row r="2260" customFormat="false" ht="15" hidden="false" customHeight="true" outlineLevel="0" collapsed="false">
      <c r="A2260" s="5" t="s">
        <v>88</v>
      </c>
      <c r="B2260" s="5" t="s">
        <v>86</v>
      </c>
      <c r="C2260" s="5" t="s">
        <v>655</v>
      </c>
      <c r="D2260" s="6" t="n">
        <v>0.180884728490763</v>
      </c>
      <c r="E2260" s="6" t="n">
        <v>0.0245323925846304</v>
      </c>
      <c r="F2260" s="7" t="n">
        <v>1.66453384078711E-013</v>
      </c>
    </row>
    <row r="2261" customFormat="false" ht="15" hidden="false" customHeight="true" outlineLevel="0" collapsed="false">
      <c r="A2261" s="5" t="s">
        <v>88</v>
      </c>
      <c r="B2261" s="5" t="s">
        <v>86</v>
      </c>
      <c r="C2261" s="5" t="s">
        <v>656</v>
      </c>
      <c r="D2261" s="6" t="n">
        <v>0.182830212293339</v>
      </c>
      <c r="E2261" s="6" t="n">
        <v>0.0245012872726315</v>
      </c>
      <c r="F2261" s="7" t="n">
        <v>8.51764725430408E-014</v>
      </c>
    </row>
    <row r="2262" customFormat="false" ht="15" hidden="false" customHeight="true" outlineLevel="0" collapsed="false">
      <c r="A2262" s="5" t="s">
        <v>88</v>
      </c>
      <c r="B2262" s="5" t="s">
        <v>86</v>
      </c>
      <c r="C2262" s="5" t="s">
        <v>657</v>
      </c>
      <c r="D2262" s="6" t="n">
        <v>0.182701510521794</v>
      </c>
      <c r="E2262" s="6" t="n">
        <v>0.0244698063398374</v>
      </c>
      <c r="F2262" s="7" t="n">
        <v>8.24147561675874E-014</v>
      </c>
    </row>
    <row r="2263" customFormat="false" ht="15" hidden="false" customHeight="true" outlineLevel="0" collapsed="false">
      <c r="A2263" s="5" t="s">
        <v>88</v>
      </c>
      <c r="B2263" s="5" t="s">
        <v>86</v>
      </c>
      <c r="C2263" s="5" t="s">
        <v>658</v>
      </c>
      <c r="D2263" s="6" t="n">
        <v>0.18225029817706</v>
      </c>
      <c r="E2263" s="6" t="n">
        <v>0.0245019413104467</v>
      </c>
      <c r="F2263" s="7" t="n">
        <v>1.02067768161472E-013</v>
      </c>
    </row>
    <row r="2264" customFormat="false" ht="15" hidden="false" customHeight="true" outlineLevel="0" collapsed="false">
      <c r="A2264" s="5" t="s">
        <v>88</v>
      </c>
      <c r="B2264" s="5" t="s">
        <v>86</v>
      </c>
      <c r="C2264" s="5" t="s">
        <v>659</v>
      </c>
      <c r="D2264" s="6" t="n">
        <v>0.18081634978423</v>
      </c>
      <c r="E2264" s="6" t="n">
        <v>0.0245124072004422</v>
      </c>
      <c r="F2264" s="7" t="n">
        <v>1.62476117495886E-013</v>
      </c>
    </row>
    <row r="2265" customFormat="false" ht="15" hidden="false" customHeight="true" outlineLevel="0" collapsed="false">
      <c r="A2265" s="5" t="s">
        <v>88</v>
      </c>
      <c r="B2265" s="5" t="s">
        <v>86</v>
      </c>
      <c r="C2265" s="5" t="s">
        <v>660</v>
      </c>
      <c r="D2265" s="6" t="n">
        <v>0.179051620673867</v>
      </c>
      <c r="E2265" s="6" t="n">
        <v>0.0245609610936377</v>
      </c>
      <c r="F2265" s="7" t="n">
        <v>3.09747679391259E-013</v>
      </c>
    </row>
    <row r="2266" customFormat="false" ht="15" hidden="false" customHeight="true" outlineLevel="0" collapsed="false">
      <c r="A2266" s="5" t="s">
        <v>88</v>
      </c>
      <c r="B2266" s="5" t="s">
        <v>86</v>
      </c>
      <c r="C2266" s="5" t="s">
        <v>661</v>
      </c>
      <c r="D2266" s="6" t="n">
        <v>0.180843821358604</v>
      </c>
      <c r="E2266" s="6" t="n">
        <v>0.0246237877461196</v>
      </c>
      <c r="F2266" s="7" t="n">
        <v>2.06880361722736E-013</v>
      </c>
    </row>
    <row r="2267" customFormat="false" ht="15" hidden="false" customHeight="true" outlineLevel="0" collapsed="false">
      <c r="A2267" s="5" t="s">
        <v>88</v>
      </c>
      <c r="B2267" s="5" t="s">
        <v>86</v>
      </c>
      <c r="C2267" s="5" t="s">
        <v>769</v>
      </c>
      <c r="D2267" s="6" t="n">
        <v>0.18117552860414</v>
      </c>
      <c r="E2267" s="6" t="n">
        <v>0.0245525163022248</v>
      </c>
      <c r="F2267" s="7" t="n">
        <v>1.59360396835658E-013</v>
      </c>
    </row>
    <row r="2268" customFormat="false" ht="15" hidden="false" customHeight="true" outlineLevel="0" collapsed="false">
      <c r="A2268" s="5" t="s">
        <v>88</v>
      </c>
      <c r="B2268" s="5" t="s">
        <v>86</v>
      </c>
      <c r="C2268" s="5" t="s">
        <v>662</v>
      </c>
      <c r="D2268" s="6" t="n">
        <v>0.181841494674059</v>
      </c>
      <c r="E2268" s="6" t="n">
        <v>0.0245178823485792</v>
      </c>
      <c r="F2268" s="7" t="n">
        <v>1.20084979066195E-013</v>
      </c>
    </row>
    <row r="2269" customFormat="false" ht="15" hidden="false" customHeight="true" outlineLevel="0" collapsed="false">
      <c r="A2269" s="5" t="s">
        <v>88</v>
      </c>
      <c r="B2269" s="5" t="s">
        <v>86</v>
      </c>
      <c r="C2269" s="5" t="s">
        <v>787</v>
      </c>
      <c r="D2269" s="6" t="n">
        <v>0.181627382810167</v>
      </c>
      <c r="E2269" s="6" t="n">
        <v>0.0245122411591325</v>
      </c>
      <c r="F2269" s="7" t="n">
        <v>1.26623235960988E-013</v>
      </c>
    </row>
    <row r="2270" customFormat="false" ht="15" hidden="false" customHeight="true" outlineLevel="0" collapsed="false">
      <c r="A2270" s="5" t="s">
        <v>88</v>
      </c>
      <c r="B2270" s="5" t="s">
        <v>86</v>
      </c>
      <c r="C2270" s="5" t="s">
        <v>663</v>
      </c>
      <c r="D2270" s="6" t="n">
        <v>0.181942671051573</v>
      </c>
      <c r="E2270" s="6" t="n">
        <v>0.0245093177332507</v>
      </c>
      <c r="F2270" s="7" t="n">
        <v>1.14144263111579E-013</v>
      </c>
    </row>
    <row r="2271" customFormat="false" ht="15" hidden="false" customHeight="true" outlineLevel="0" collapsed="false">
      <c r="A2271" s="5" t="s">
        <v>88</v>
      </c>
      <c r="B2271" s="5" t="s">
        <v>86</v>
      </c>
      <c r="C2271" s="5" t="s">
        <v>664</v>
      </c>
      <c r="D2271" s="6" t="n">
        <v>0.185624132614618</v>
      </c>
      <c r="E2271" s="6" t="n">
        <v>0.0244681889960572</v>
      </c>
      <c r="F2271" s="7" t="n">
        <v>3.29054586726134E-014</v>
      </c>
    </row>
    <row r="2272" customFormat="false" ht="15" hidden="false" customHeight="true" outlineLevel="0" collapsed="false">
      <c r="A2272" s="5" t="s">
        <v>88</v>
      </c>
      <c r="B2272" s="5" t="s">
        <v>86</v>
      </c>
      <c r="C2272" s="5" t="s">
        <v>665</v>
      </c>
      <c r="D2272" s="6" t="n">
        <v>0.180855050233572</v>
      </c>
      <c r="E2272" s="6" t="n">
        <v>0.0245233358737564</v>
      </c>
      <c r="F2272" s="7" t="n">
        <v>1.64574175945918E-013</v>
      </c>
    </row>
    <row r="2273" customFormat="false" ht="15" hidden="false" customHeight="true" outlineLevel="0" collapsed="false">
      <c r="A2273" s="5" t="s">
        <v>88</v>
      </c>
      <c r="B2273" s="5" t="s">
        <v>86</v>
      </c>
      <c r="C2273" s="5" t="s">
        <v>666</v>
      </c>
      <c r="D2273" s="6" t="n">
        <v>0.182150288252239</v>
      </c>
      <c r="E2273" s="6" t="n">
        <v>0.0245195679651066</v>
      </c>
      <c r="F2273" s="7" t="n">
        <v>1.09610212054527E-013</v>
      </c>
    </row>
    <row r="2274" customFormat="false" ht="15" hidden="false" customHeight="true" outlineLevel="0" collapsed="false">
      <c r="A2274" s="5" t="s">
        <v>88</v>
      </c>
      <c r="B2274" s="5" t="s">
        <v>86</v>
      </c>
      <c r="C2274" s="5" t="s">
        <v>667</v>
      </c>
      <c r="D2274" s="6" t="n">
        <v>0.180871925167054</v>
      </c>
      <c r="E2274" s="6" t="n">
        <v>0.0245129004726891</v>
      </c>
      <c r="F2274" s="7" t="n">
        <v>1.59911776112365E-013</v>
      </c>
    </row>
    <row r="2275" customFormat="false" ht="15" hidden="false" customHeight="true" outlineLevel="0" collapsed="false">
      <c r="A2275" s="5" t="s">
        <v>88</v>
      </c>
      <c r="B2275" s="5" t="s">
        <v>86</v>
      </c>
      <c r="C2275" s="5" t="s">
        <v>668</v>
      </c>
      <c r="D2275" s="6" t="n">
        <v>0.181520120165416</v>
      </c>
      <c r="E2275" s="6" t="n">
        <v>0.0245240992809736</v>
      </c>
      <c r="F2275" s="7" t="n">
        <v>1.34448079716206E-013</v>
      </c>
    </row>
    <row r="2276" customFormat="false" ht="15" hidden="false" customHeight="true" outlineLevel="0" collapsed="false">
      <c r="A2276" s="5" t="s">
        <v>88</v>
      </c>
      <c r="B2276" s="5" t="s">
        <v>86</v>
      </c>
      <c r="C2276" s="5" t="s">
        <v>669</v>
      </c>
      <c r="D2276" s="6" t="n">
        <v>0.18123338565043</v>
      </c>
      <c r="E2276" s="6" t="n">
        <v>0.0245280725498309</v>
      </c>
      <c r="F2276" s="7" t="n">
        <v>1.48143328276025E-013</v>
      </c>
    </row>
    <row r="2277" customFormat="false" ht="15" hidden="false" customHeight="true" outlineLevel="0" collapsed="false">
      <c r="A2277" s="5" t="s">
        <v>88</v>
      </c>
      <c r="B2277" s="5" t="s">
        <v>86</v>
      </c>
      <c r="C2277" s="5" t="s">
        <v>670</v>
      </c>
      <c r="D2277" s="6" t="n">
        <v>0.18143230744965</v>
      </c>
      <c r="E2277" s="6" t="n">
        <v>0.0245327030042507</v>
      </c>
      <c r="F2277" s="7" t="n">
        <v>1.4084680692213E-013</v>
      </c>
    </row>
    <row r="2278" customFormat="false" ht="15" hidden="false" customHeight="true" outlineLevel="0" collapsed="false">
      <c r="A2278" s="5" t="s">
        <v>88</v>
      </c>
      <c r="B2278" s="5" t="s">
        <v>86</v>
      </c>
      <c r="C2278" s="5" t="s">
        <v>671</v>
      </c>
      <c r="D2278" s="6" t="n">
        <v>0.182202310426186</v>
      </c>
      <c r="E2278" s="6" t="n">
        <v>0.0245176083415013</v>
      </c>
      <c r="F2278" s="7" t="n">
        <v>1.07382803664355E-013</v>
      </c>
    </row>
    <row r="2279" customFormat="false" ht="15" hidden="false" customHeight="true" outlineLevel="0" collapsed="false">
      <c r="A2279" s="5" t="s">
        <v>88</v>
      </c>
      <c r="B2279" s="5" t="s">
        <v>86</v>
      </c>
      <c r="C2279" s="5" t="s">
        <v>672</v>
      </c>
      <c r="D2279" s="6" t="n">
        <v>0.18264223271638</v>
      </c>
      <c r="E2279" s="6" t="n">
        <v>0.0244529847167951</v>
      </c>
      <c r="F2279" s="7" t="n">
        <v>8.07340078979509E-014</v>
      </c>
    </row>
    <row r="2280" customFormat="false" ht="15" hidden="false" customHeight="true" outlineLevel="0" collapsed="false">
      <c r="A2280" s="5" t="s">
        <v>88</v>
      </c>
      <c r="B2280" s="5" t="s">
        <v>86</v>
      </c>
      <c r="C2280" s="5" t="s">
        <v>673</v>
      </c>
      <c r="D2280" s="6" t="n">
        <v>0.181904995192381</v>
      </c>
      <c r="E2280" s="6" t="n">
        <v>0.024522372454788</v>
      </c>
      <c r="F2280" s="7" t="n">
        <v>1.18973992062919E-013</v>
      </c>
    </row>
    <row r="2281" customFormat="false" ht="15" hidden="false" customHeight="true" outlineLevel="0" collapsed="false">
      <c r="A2281" s="5" t="s">
        <v>88</v>
      </c>
      <c r="B2281" s="5" t="s">
        <v>86</v>
      </c>
      <c r="C2281" s="5" t="s">
        <v>674</v>
      </c>
      <c r="D2281" s="6" t="n">
        <v>0.183709832608765</v>
      </c>
      <c r="E2281" s="6" t="n">
        <v>0.0243802597466111</v>
      </c>
      <c r="F2281" s="7" t="n">
        <v>4.87633006392392E-014</v>
      </c>
    </row>
    <row r="2282" customFormat="false" ht="15" hidden="false" customHeight="true" outlineLevel="0" collapsed="false">
      <c r="A2282" s="5" t="s">
        <v>88</v>
      </c>
      <c r="B2282" s="5" t="s">
        <v>86</v>
      </c>
      <c r="C2282" s="5" t="s">
        <v>675</v>
      </c>
      <c r="D2282" s="6" t="n">
        <v>0.179961439400874</v>
      </c>
      <c r="E2282" s="6" t="n">
        <v>0.0244716599323747</v>
      </c>
      <c r="F2282" s="7" t="n">
        <v>1.92547031642955E-013</v>
      </c>
    </row>
    <row r="2283" customFormat="false" ht="15" hidden="false" customHeight="true" outlineLevel="0" collapsed="false">
      <c r="A2283" s="5" t="s">
        <v>88</v>
      </c>
      <c r="B2283" s="5" t="s">
        <v>86</v>
      </c>
      <c r="C2283" s="5" t="s">
        <v>676</v>
      </c>
      <c r="D2283" s="6" t="n">
        <v>0.180766715922961</v>
      </c>
      <c r="E2283" s="6" t="n">
        <v>0.0245316936855944</v>
      </c>
      <c r="F2283" s="7" t="n">
        <v>1.72298599865767E-013</v>
      </c>
    </row>
    <row r="2284" customFormat="false" ht="15" hidden="false" customHeight="true" outlineLevel="0" collapsed="false">
      <c r="A2284" s="5" t="s">
        <v>88</v>
      </c>
      <c r="B2284" s="5" t="s">
        <v>86</v>
      </c>
      <c r="C2284" s="5" t="s">
        <v>677</v>
      </c>
      <c r="D2284" s="6" t="n">
        <v>0.181850626367465</v>
      </c>
      <c r="E2284" s="6" t="n">
        <v>0.0245356492613098</v>
      </c>
      <c r="F2284" s="7" t="n">
        <v>1.24699974251281E-013</v>
      </c>
    </row>
    <row r="2285" customFormat="false" ht="15" hidden="false" customHeight="true" outlineLevel="0" collapsed="false">
      <c r="A2285" s="5" t="s">
        <v>88</v>
      </c>
      <c r="B2285" s="5" t="s">
        <v>86</v>
      </c>
      <c r="C2285" s="5" t="s">
        <v>678</v>
      </c>
      <c r="D2285" s="6" t="n">
        <v>0.178452133886918</v>
      </c>
      <c r="E2285" s="6" t="n">
        <v>0.0244069707772419</v>
      </c>
      <c r="F2285" s="7" t="n">
        <v>2.6413084343626E-013</v>
      </c>
    </row>
    <row r="2286" customFormat="false" ht="15" hidden="false" customHeight="true" outlineLevel="0" collapsed="false">
      <c r="A2286" s="5" t="s">
        <v>88</v>
      </c>
      <c r="B2286" s="5" t="s">
        <v>86</v>
      </c>
      <c r="C2286" s="5" t="s">
        <v>788</v>
      </c>
      <c r="D2286" s="6" t="n">
        <v>0.185141568181705</v>
      </c>
      <c r="E2286" s="6" t="n">
        <v>0.0243674771426205</v>
      </c>
      <c r="F2286" s="7" t="n">
        <v>3.00983000199641E-014</v>
      </c>
    </row>
    <row r="2287" customFormat="false" ht="15" hidden="false" customHeight="true" outlineLevel="0" collapsed="false">
      <c r="A2287" s="5" t="s">
        <v>88</v>
      </c>
      <c r="B2287" s="5" t="s">
        <v>86</v>
      </c>
      <c r="C2287" s="5" t="s">
        <v>679</v>
      </c>
      <c r="D2287" s="6" t="n">
        <v>0.179974371554006</v>
      </c>
      <c r="E2287" s="6" t="n">
        <v>0.0245134068550756</v>
      </c>
      <c r="F2287" s="7" t="n">
        <v>2.10621897525098E-013</v>
      </c>
    </row>
    <row r="2288" customFormat="false" ht="15" hidden="false" customHeight="true" outlineLevel="0" collapsed="false">
      <c r="A2288" s="5" t="s">
        <v>88</v>
      </c>
      <c r="B2288" s="5" t="s">
        <v>86</v>
      </c>
      <c r="C2288" s="5" t="s">
        <v>680</v>
      </c>
      <c r="D2288" s="6" t="n">
        <v>0.18420453789528</v>
      </c>
      <c r="E2288" s="6" t="n">
        <v>0.0243873944352123</v>
      </c>
      <c r="F2288" s="7" t="n">
        <v>4.24468698642843E-014</v>
      </c>
    </row>
    <row r="2289" customFormat="false" ht="15" hidden="false" customHeight="true" outlineLevel="0" collapsed="false">
      <c r="A2289" s="5" t="s">
        <v>88</v>
      </c>
      <c r="B2289" s="5" t="s">
        <v>86</v>
      </c>
      <c r="C2289" s="5" t="s">
        <v>681</v>
      </c>
      <c r="D2289" s="6" t="n">
        <v>0.182141338179986</v>
      </c>
      <c r="E2289" s="6" t="n">
        <v>0.0245246364492296</v>
      </c>
      <c r="F2289" s="7" t="n">
        <v>1.11195786034208E-013</v>
      </c>
    </row>
    <row r="2290" customFormat="false" ht="15" hidden="false" customHeight="true" outlineLevel="0" collapsed="false">
      <c r="A2290" s="5" t="s">
        <v>88</v>
      </c>
      <c r="B2290" s="5" t="s">
        <v>86</v>
      </c>
      <c r="C2290" s="5" t="s">
        <v>682</v>
      </c>
      <c r="D2290" s="6" t="n">
        <v>0.180352190270562</v>
      </c>
      <c r="E2290" s="6" t="n">
        <v>0.0244794014145095</v>
      </c>
      <c r="F2290" s="7" t="n">
        <v>1.73846766287731E-013</v>
      </c>
    </row>
    <row r="2291" customFormat="false" ht="15" hidden="false" customHeight="true" outlineLevel="0" collapsed="false">
      <c r="A2291" s="5" t="s">
        <v>88</v>
      </c>
      <c r="B2291" s="5" t="s">
        <v>86</v>
      </c>
      <c r="C2291" s="5" t="s">
        <v>683</v>
      </c>
      <c r="D2291" s="6" t="n">
        <v>0.181902285783185</v>
      </c>
      <c r="E2291" s="6" t="n">
        <v>0.0245302098335814</v>
      </c>
      <c r="F2291" s="7" t="n">
        <v>1.21222176560989E-013</v>
      </c>
    </row>
    <row r="2292" customFormat="false" ht="15" hidden="false" customHeight="true" outlineLevel="0" collapsed="false">
      <c r="A2292" s="5" t="s">
        <v>88</v>
      </c>
      <c r="B2292" s="5" t="s">
        <v>86</v>
      </c>
      <c r="C2292" s="5" t="s">
        <v>684</v>
      </c>
      <c r="D2292" s="6" t="n">
        <v>0.180518927626878</v>
      </c>
      <c r="E2292" s="6" t="n">
        <v>0.0245214290810007</v>
      </c>
      <c r="F2292" s="7" t="n">
        <v>1.81609157374701E-013</v>
      </c>
    </row>
    <row r="2293" customFormat="false" ht="15" hidden="false" customHeight="true" outlineLevel="0" collapsed="false">
      <c r="A2293" s="5" t="s">
        <v>88</v>
      </c>
      <c r="B2293" s="5" t="s">
        <v>86</v>
      </c>
      <c r="C2293" s="5" t="s">
        <v>685</v>
      </c>
      <c r="D2293" s="6" t="n">
        <v>0.180338370937259</v>
      </c>
      <c r="E2293" s="6" t="n">
        <v>0.0244846308690496</v>
      </c>
      <c r="F2293" s="7" t="n">
        <v>1.76655919220147E-013</v>
      </c>
    </row>
    <row r="2294" customFormat="false" ht="15" hidden="false" customHeight="true" outlineLevel="0" collapsed="false">
      <c r="A2294" s="5" t="s">
        <v>88</v>
      </c>
      <c r="B2294" s="5" t="s">
        <v>86</v>
      </c>
      <c r="C2294" s="5" t="s">
        <v>686</v>
      </c>
      <c r="D2294" s="6" t="n">
        <v>0.180439807974779</v>
      </c>
      <c r="E2294" s="6" t="n">
        <v>0.0244987681007194</v>
      </c>
      <c r="F2294" s="7" t="n">
        <v>1.76801329930475E-013</v>
      </c>
    </row>
    <row r="2295" customFormat="false" ht="15" hidden="false" customHeight="true" outlineLevel="0" collapsed="false">
      <c r="A2295" s="5" t="s">
        <v>88</v>
      </c>
      <c r="B2295" s="5" t="s">
        <v>86</v>
      </c>
      <c r="C2295" s="5" t="s">
        <v>687</v>
      </c>
      <c r="D2295" s="6" t="n">
        <v>0.180836347349211</v>
      </c>
      <c r="E2295" s="6" t="n">
        <v>0.0245233118862333</v>
      </c>
      <c r="F2295" s="7" t="n">
        <v>1.65509953870615E-013</v>
      </c>
    </row>
    <row r="2296" customFormat="false" ht="15" hidden="false" customHeight="true" outlineLevel="0" collapsed="false">
      <c r="A2296" s="5" t="s">
        <v>88</v>
      </c>
      <c r="B2296" s="5" t="s">
        <v>86</v>
      </c>
      <c r="C2296" s="5" t="s">
        <v>789</v>
      </c>
      <c r="D2296" s="6" t="n">
        <v>0.180823186833202</v>
      </c>
      <c r="E2296" s="6" t="n">
        <v>0.0245148444988255</v>
      </c>
      <c r="F2296" s="7" t="n">
        <v>1.63031430127805E-013</v>
      </c>
    </row>
    <row r="2297" customFormat="false" ht="15" hidden="false" customHeight="true" outlineLevel="0" collapsed="false">
      <c r="A2297" s="5" t="s">
        <v>88</v>
      </c>
      <c r="B2297" s="5" t="s">
        <v>86</v>
      </c>
      <c r="C2297" s="5" t="s">
        <v>688</v>
      </c>
      <c r="D2297" s="6" t="n">
        <v>0.180966779715776</v>
      </c>
      <c r="E2297" s="6" t="n">
        <v>0.0245277511772262</v>
      </c>
      <c r="F2297" s="7" t="n">
        <v>1.60634233159096E-013</v>
      </c>
    </row>
    <row r="2298" customFormat="false" ht="15" hidden="false" customHeight="true" outlineLevel="0" collapsed="false">
      <c r="A2298" s="5" t="s">
        <v>88</v>
      </c>
      <c r="B2298" s="5" t="s">
        <v>86</v>
      </c>
      <c r="C2298" s="5" t="s">
        <v>689</v>
      </c>
      <c r="D2298" s="6" t="n">
        <v>0.180858927880885</v>
      </c>
      <c r="E2298" s="6" t="n">
        <v>0.0245271159171369</v>
      </c>
      <c r="F2298" s="7" t="n">
        <v>1.65787239155892E-013</v>
      </c>
    </row>
    <row r="2299" customFormat="false" ht="15" hidden="false" customHeight="true" outlineLevel="0" collapsed="false">
      <c r="A2299" s="5" t="s">
        <v>88</v>
      </c>
      <c r="B2299" s="5" t="s">
        <v>86</v>
      </c>
      <c r="C2299" s="5" t="s">
        <v>690</v>
      </c>
      <c r="D2299" s="6" t="n">
        <v>0.181768698907792</v>
      </c>
      <c r="E2299" s="6" t="n">
        <v>0.0245214237679048</v>
      </c>
      <c r="F2299" s="7" t="n">
        <v>1.2380155948368E-013</v>
      </c>
    </row>
    <row r="2300" customFormat="false" ht="15" hidden="false" customHeight="true" outlineLevel="0" collapsed="false">
      <c r="A2300" s="5" t="s">
        <v>88</v>
      </c>
      <c r="B2300" s="5" t="s">
        <v>86</v>
      </c>
      <c r="C2300" s="5" t="s">
        <v>691</v>
      </c>
      <c r="D2300" s="6" t="n">
        <v>0.182201887363192</v>
      </c>
      <c r="E2300" s="6" t="n">
        <v>0.0244817828327537</v>
      </c>
      <c r="F2300" s="7" t="n">
        <v>9.89130797242642E-014</v>
      </c>
    </row>
    <row r="2301" customFormat="false" ht="15" hidden="false" customHeight="true" outlineLevel="0" collapsed="false">
      <c r="A2301" s="5" t="s">
        <v>88</v>
      </c>
      <c r="B2301" s="5" t="s">
        <v>86</v>
      </c>
      <c r="C2301" s="5" t="s">
        <v>692</v>
      </c>
      <c r="D2301" s="6" t="n">
        <v>0.17847433090458</v>
      </c>
      <c r="E2301" s="6" t="n">
        <v>0.0244167625980838</v>
      </c>
      <c r="F2301" s="7" t="n">
        <v>2.68137870964986E-013</v>
      </c>
    </row>
    <row r="2302" customFormat="false" ht="15" hidden="false" customHeight="true" outlineLevel="0" collapsed="false">
      <c r="A2302" s="5" t="s">
        <v>88</v>
      </c>
      <c r="B2302" s="5" t="s">
        <v>86</v>
      </c>
      <c r="C2302" s="5" t="s">
        <v>693</v>
      </c>
      <c r="D2302" s="6" t="n">
        <v>0.181269035909204</v>
      </c>
      <c r="E2302" s="6" t="n">
        <v>0.0245249177419919</v>
      </c>
      <c r="F2302" s="7" t="n">
        <v>1.45488853028495E-013</v>
      </c>
    </row>
    <row r="2303" customFormat="false" ht="15" hidden="false" customHeight="true" outlineLevel="0" collapsed="false">
      <c r="A2303" s="5" t="s">
        <v>88</v>
      </c>
      <c r="B2303" s="5" t="s">
        <v>86</v>
      </c>
      <c r="C2303" s="5" t="s">
        <v>694</v>
      </c>
      <c r="D2303" s="6" t="n">
        <v>0.181368705338282</v>
      </c>
      <c r="E2303" s="6" t="n">
        <v>0.0245203495445918</v>
      </c>
      <c r="F2303" s="7" t="n">
        <v>1.39651797106691E-013</v>
      </c>
    </row>
    <row r="2304" customFormat="false" ht="15" hidden="false" customHeight="true" outlineLevel="0" collapsed="false">
      <c r="A2304" s="5" t="s">
        <v>88</v>
      </c>
      <c r="B2304" s="5" t="s">
        <v>86</v>
      </c>
      <c r="C2304" s="5" t="s">
        <v>695</v>
      </c>
      <c r="D2304" s="6" t="n">
        <v>0.181288832245574</v>
      </c>
      <c r="E2304" s="6" t="n">
        <v>0.0245288984656669</v>
      </c>
      <c r="F2304" s="7" t="n">
        <v>1.45918945217715E-013</v>
      </c>
    </row>
    <row r="2305" customFormat="false" ht="15" hidden="false" customHeight="true" outlineLevel="0" collapsed="false">
      <c r="A2305" s="5" t="s">
        <v>88</v>
      </c>
      <c r="B2305" s="5" t="s">
        <v>86</v>
      </c>
      <c r="C2305" s="5" t="s">
        <v>696</v>
      </c>
      <c r="D2305" s="6" t="n">
        <v>0.182188255655273</v>
      </c>
      <c r="E2305" s="6" t="n">
        <v>0.0245186937208618</v>
      </c>
      <c r="F2305" s="7" t="n">
        <v>1.08117835018612E-013</v>
      </c>
    </row>
    <row r="2306" customFormat="false" ht="15" hidden="false" customHeight="true" outlineLevel="0" collapsed="false">
      <c r="A2306" s="5" t="s">
        <v>88</v>
      </c>
      <c r="B2306" s="5" t="s">
        <v>86</v>
      </c>
      <c r="C2306" s="5" t="s">
        <v>697</v>
      </c>
      <c r="D2306" s="6" t="n">
        <v>0.181955414515449</v>
      </c>
      <c r="E2306" s="6" t="n">
        <v>0.0245229929338484</v>
      </c>
      <c r="F2306" s="7" t="n">
        <v>1.17307740905511E-013</v>
      </c>
    </row>
    <row r="2307" customFormat="false" ht="15" hidden="false" customHeight="true" outlineLevel="0" collapsed="false">
      <c r="A2307" s="5" t="s">
        <v>88</v>
      </c>
      <c r="B2307" s="5" t="s">
        <v>86</v>
      </c>
      <c r="C2307" s="5" t="s">
        <v>698</v>
      </c>
      <c r="D2307" s="6" t="n">
        <v>0.180825744719629</v>
      </c>
      <c r="E2307" s="6" t="n">
        <v>0.0245312416960405</v>
      </c>
      <c r="F2307" s="7" t="n">
        <v>1.69044333701938E-013</v>
      </c>
    </row>
    <row r="2308" customFormat="false" ht="15" hidden="false" customHeight="true" outlineLevel="0" collapsed="false">
      <c r="A2308" s="5" t="s">
        <v>88</v>
      </c>
      <c r="B2308" s="5" t="s">
        <v>86</v>
      </c>
      <c r="C2308" s="5" t="s">
        <v>699</v>
      </c>
      <c r="D2308" s="6" t="n">
        <v>0.181909592392867</v>
      </c>
      <c r="E2308" s="6" t="n">
        <v>0.0245244223802399</v>
      </c>
      <c r="F2308" s="7" t="n">
        <v>1.19363098717921E-013</v>
      </c>
    </row>
    <row r="2309" customFormat="false" ht="15" hidden="false" customHeight="true" outlineLevel="0" collapsed="false">
      <c r="A2309" s="5" t="s">
        <v>88</v>
      </c>
      <c r="B2309" s="5" t="s">
        <v>86</v>
      </c>
      <c r="C2309" s="5" t="s">
        <v>700</v>
      </c>
      <c r="D2309" s="6" t="n">
        <v>0.181912363499783</v>
      </c>
      <c r="E2309" s="6" t="n">
        <v>0.024499317082891</v>
      </c>
      <c r="F2309" s="7" t="n">
        <v>1.12608435883424E-013</v>
      </c>
    </row>
    <row r="2310" customFormat="false" ht="15" hidden="false" customHeight="true" outlineLevel="0" collapsed="false">
      <c r="A2310" s="5" t="s">
        <v>88</v>
      </c>
      <c r="B2310" s="5" t="s">
        <v>86</v>
      </c>
      <c r="C2310" s="5" t="s">
        <v>701</v>
      </c>
      <c r="D2310" s="6" t="n">
        <v>0.180884591146469</v>
      </c>
      <c r="E2310" s="6" t="n">
        <v>0.0245405092172953</v>
      </c>
      <c r="F2310" s="7" t="n">
        <v>1.69534258991687E-013</v>
      </c>
    </row>
    <row r="2311" customFormat="false" ht="15" hidden="false" customHeight="true" outlineLevel="0" collapsed="false">
      <c r="A2311" s="5" t="s">
        <v>88</v>
      </c>
      <c r="B2311" s="5" t="s">
        <v>86</v>
      </c>
      <c r="C2311" s="5" t="s">
        <v>702</v>
      </c>
      <c r="D2311" s="6" t="n">
        <v>0.180262361986569</v>
      </c>
      <c r="E2311" s="6" t="n">
        <v>0.024533182876324</v>
      </c>
      <c r="F2311" s="7" t="n">
        <v>2.01652951545164E-013</v>
      </c>
    </row>
    <row r="2312" customFormat="false" ht="15" hidden="false" customHeight="true" outlineLevel="0" collapsed="false">
      <c r="A2312" s="5" t="s">
        <v>88</v>
      </c>
      <c r="B2312" s="5" t="s">
        <v>86</v>
      </c>
      <c r="C2312" s="5" t="s">
        <v>703</v>
      </c>
      <c r="D2312" s="6" t="n">
        <v>0.180807411037525</v>
      </c>
      <c r="E2312" s="6" t="n">
        <v>0.0245130726301595</v>
      </c>
      <c r="F2312" s="7" t="n">
        <v>1.63166608651638E-013</v>
      </c>
    </row>
    <row r="2313" customFormat="false" ht="15" hidden="false" customHeight="true" outlineLevel="0" collapsed="false">
      <c r="A2313" s="5" t="s">
        <v>88</v>
      </c>
      <c r="B2313" s="5" t="s">
        <v>86</v>
      </c>
      <c r="C2313" s="5" t="s">
        <v>704</v>
      </c>
      <c r="D2313" s="6" t="n">
        <v>0.180430878170749</v>
      </c>
      <c r="E2313" s="6" t="n">
        <v>0.0245090363421128</v>
      </c>
      <c r="F2313" s="7" t="n">
        <v>1.81432575866149E-013</v>
      </c>
    </row>
    <row r="2314" customFormat="false" ht="15" hidden="false" customHeight="true" outlineLevel="0" collapsed="false">
      <c r="A2314" s="5" t="s">
        <v>88</v>
      </c>
      <c r="B2314" s="5" t="s">
        <v>86</v>
      </c>
      <c r="C2314" s="5" t="s">
        <v>705</v>
      </c>
      <c r="D2314" s="6" t="n">
        <v>0.181481665050878</v>
      </c>
      <c r="E2314" s="6" t="n">
        <v>0.0245333513681057</v>
      </c>
      <c r="F2314" s="7" t="n">
        <v>1.3893421401692E-013</v>
      </c>
    </row>
    <row r="2315" customFormat="false" ht="15" hidden="false" customHeight="true" outlineLevel="0" collapsed="false">
      <c r="A2315" s="5" t="s">
        <v>88</v>
      </c>
      <c r="B2315" s="5" t="s">
        <v>86</v>
      </c>
      <c r="C2315" s="5" t="s">
        <v>706</v>
      </c>
      <c r="D2315" s="6" t="n">
        <v>0.181557674704233</v>
      </c>
      <c r="E2315" s="6" t="n">
        <v>0.0245382465179182</v>
      </c>
      <c r="F2315" s="7" t="n">
        <v>1.37248014972853E-013</v>
      </c>
    </row>
    <row r="2316" customFormat="false" ht="15" hidden="false" customHeight="true" outlineLevel="0" collapsed="false">
      <c r="A2316" s="5" t="s">
        <v>88</v>
      </c>
      <c r="B2316" s="5" t="s">
        <v>86</v>
      </c>
      <c r="C2316" s="5" t="s">
        <v>707</v>
      </c>
      <c r="D2316" s="6" t="n">
        <v>0.181135444267678</v>
      </c>
      <c r="E2316" s="6" t="n">
        <v>0.0245277443676834</v>
      </c>
      <c r="F2316" s="7" t="n">
        <v>1.52544411063492E-013</v>
      </c>
    </row>
    <row r="2317" customFormat="false" ht="15" hidden="false" customHeight="true" outlineLevel="0" collapsed="false">
      <c r="A2317" s="5" t="s">
        <v>88</v>
      </c>
      <c r="B2317" s="5" t="s">
        <v>86</v>
      </c>
      <c r="C2317" s="5" t="s">
        <v>708</v>
      </c>
      <c r="D2317" s="6" t="n">
        <v>0.180867057322567</v>
      </c>
      <c r="E2317" s="6" t="n">
        <v>0.0245205775336215</v>
      </c>
      <c r="F2317" s="7" t="n">
        <v>1.62952425786566E-013</v>
      </c>
    </row>
    <row r="2318" customFormat="false" ht="15" hidden="false" customHeight="true" outlineLevel="0" collapsed="false">
      <c r="A2318" s="5" t="s">
        <v>88</v>
      </c>
      <c r="B2318" s="5" t="s">
        <v>86</v>
      </c>
      <c r="C2318" s="5" t="s">
        <v>186</v>
      </c>
      <c r="D2318" s="6" t="n">
        <v>0.184630652479778</v>
      </c>
      <c r="E2318" s="6" t="n">
        <v>0.0242580868186065</v>
      </c>
      <c r="F2318" s="7" t="n">
        <v>2.71779097715442E-014</v>
      </c>
    </row>
    <row r="2319" customFormat="false" ht="15" hidden="false" customHeight="true" outlineLevel="0" collapsed="false">
      <c r="A2319" s="5" t="s">
        <v>88</v>
      </c>
      <c r="B2319" s="5" t="s">
        <v>86</v>
      </c>
      <c r="C2319" s="5" t="s">
        <v>709</v>
      </c>
      <c r="D2319" s="6" t="n">
        <v>0.182213490394731</v>
      </c>
      <c r="E2319" s="6" t="n">
        <v>0.0245439923288978</v>
      </c>
      <c r="F2319" s="7" t="n">
        <v>1.13673940969921E-013</v>
      </c>
    </row>
    <row r="2320" customFormat="false" ht="15" hidden="false" customHeight="true" outlineLevel="0" collapsed="false">
      <c r="A2320" s="5" t="s">
        <v>88</v>
      </c>
      <c r="B2320" s="5" t="s">
        <v>86</v>
      </c>
      <c r="C2320" s="5" t="s">
        <v>710</v>
      </c>
      <c r="D2320" s="6" t="n">
        <v>0.181200223069166</v>
      </c>
      <c r="E2320" s="6" t="n">
        <v>0.0245252286826625</v>
      </c>
      <c r="F2320" s="7" t="n">
        <v>1.48696203216356E-013</v>
      </c>
    </row>
    <row r="2321" customFormat="false" ht="15" hidden="false" customHeight="true" outlineLevel="0" collapsed="false">
      <c r="A2321" s="5" t="s">
        <v>88</v>
      </c>
      <c r="B2321" s="5" t="s">
        <v>86</v>
      </c>
      <c r="C2321" s="5" t="s">
        <v>711</v>
      </c>
      <c r="D2321" s="6" t="n">
        <v>0.182334341359874</v>
      </c>
      <c r="E2321" s="6" t="n">
        <v>0.0245026513589372</v>
      </c>
      <c r="F2321" s="7" t="n">
        <v>9.96141942572702E-014</v>
      </c>
    </row>
    <row r="2322" customFormat="false" ht="15" hidden="false" customHeight="true" outlineLevel="0" collapsed="false">
      <c r="A2322" s="5" t="s">
        <v>88</v>
      </c>
      <c r="B2322" s="5" t="s">
        <v>86</v>
      </c>
      <c r="C2322" s="5" t="s">
        <v>712</v>
      </c>
      <c r="D2322" s="6" t="n">
        <v>0.181801114816323</v>
      </c>
      <c r="E2322" s="6" t="n">
        <v>0.0245258854332122</v>
      </c>
      <c r="F2322" s="7" t="n">
        <v>1.23826571934823E-013</v>
      </c>
    </row>
    <row r="2323" customFormat="false" ht="15" hidden="false" customHeight="true" outlineLevel="0" collapsed="false">
      <c r="A2323" s="5" t="s">
        <v>88</v>
      </c>
      <c r="B2323" s="5" t="s">
        <v>86</v>
      </c>
      <c r="C2323" s="5" t="s">
        <v>713</v>
      </c>
      <c r="D2323" s="6" t="n">
        <v>0.180765711501628</v>
      </c>
      <c r="E2323" s="6" t="n">
        <v>0.0245204058921781</v>
      </c>
      <c r="F2323" s="7" t="n">
        <v>1.68021233151644E-013</v>
      </c>
    </row>
    <row r="2324" customFormat="false" ht="15" hidden="false" customHeight="true" outlineLevel="0" collapsed="false">
      <c r="A2324" s="5" t="s">
        <v>88</v>
      </c>
      <c r="B2324" s="5" t="s">
        <v>86</v>
      </c>
      <c r="C2324" s="5" t="s">
        <v>714</v>
      </c>
      <c r="D2324" s="6" t="n">
        <v>0.179332313474675</v>
      </c>
      <c r="E2324" s="6" t="n">
        <v>0.0244466528479883</v>
      </c>
      <c r="F2324" s="7" t="n">
        <v>2.20632826354022E-013</v>
      </c>
    </row>
    <row r="2325" customFormat="false" ht="15" hidden="false" customHeight="true" outlineLevel="0" collapsed="false">
      <c r="A2325" s="5" t="s">
        <v>88</v>
      </c>
      <c r="B2325" s="5" t="s">
        <v>86</v>
      </c>
      <c r="C2325" s="5" t="s">
        <v>715</v>
      </c>
      <c r="D2325" s="6" t="n">
        <v>0.180609220243211</v>
      </c>
      <c r="E2325" s="6" t="n">
        <v>0.0245053149282805</v>
      </c>
      <c r="F2325" s="7" t="n">
        <v>1.70364519234704E-013</v>
      </c>
    </row>
    <row r="2326" customFormat="false" ht="15" hidden="false" customHeight="true" outlineLevel="0" collapsed="false">
      <c r="A2326" s="5" t="s">
        <v>88</v>
      </c>
      <c r="B2326" s="5" t="s">
        <v>86</v>
      </c>
      <c r="C2326" s="5" t="s">
        <v>716</v>
      </c>
      <c r="D2326" s="6" t="n">
        <v>0.181885589196611</v>
      </c>
      <c r="E2326" s="6" t="n">
        <v>0.0245073382375842</v>
      </c>
      <c r="F2326" s="7" t="n">
        <v>1.15645119587349E-013</v>
      </c>
    </row>
    <row r="2327" customFormat="false" ht="15" hidden="false" customHeight="true" outlineLevel="0" collapsed="false">
      <c r="A2327" s="5" t="s">
        <v>88</v>
      </c>
      <c r="B2327" s="5" t="s">
        <v>86</v>
      </c>
      <c r="C2327" s="5" t="s">
        <v>717</v>
      </c>
      <c r="D2327" s="6" t="n">
        <v>0.181322449037047</v>
      </c>
      <c r="E2327" s="6" t="n">
        <v>0.0245475924648431</v>
      </c>
      <c r="F2327" s="7" t="n">
        <v>1.50667662613626E-013</v>
      </c>
    </row>
    <row r="2328" customFormat="false" ht="15" hidden="false" customHeight="true" outlineLevel="0" collapsed="false">
      <c r="A2328" s="5" t="s">
        <v>88</v>
      </c>
      <c r="B2328" s="5" t="s">
        <v>86</v>
      </c>
      <c r="C2328" s="5" t="s">
        <v>718</v>
      </c>
      <c r="D2328" s="6" t="n">
        <v>0.182348765264055</v>
      </c>
      <c r="E2328" s="6" t="n">
        <v>0.0244945462361454</v>
      </c>
      <c r="F2328" s="7" t="n">
        <v>9.73388836179773E-014</v>
      </c>
    </row>
    <row r="2329" customFormat="false" ht="15" hidden="false" customHeight="true" outlineLevel="0" collapsed="false">
      <c r="A2329" s="5" t="s">
        <v>88</v>
      </c>
      <c r="B2329" s="5" t="s">
        <v>86</v>
      </c>
      <c r="C2329" s="5" t="s">
        <v>719</v>
      </c>
      <c r="D2329" s="6" t="n">
        <v>0.18143792293112</v>
      </c>
      <c r="E2329" s="6" t="n">
        <v>0.0245232222856972</v>
      </c>
      <c r="F2329" s="7" t="n">
        <v>1.3761038559394E-013</v>
      </c>
    </row>
    <row r="2330" customFormat="false" ht="15" hidden="false" customHeight="true" outlineLevel="0" collapsed="false">
      <c r="A2330" s="5" t="s">
        <v>88</v>
      </c>
      <c r="B2330" s="5" t="s">
        <v>86</v>
      </c>
      <c r="C2330" s="5" t="s">
        <v>720</v>
      </c>
      <c r="D2330" s="6" t="n">
        <v>0.180984672512748</v>
      </c>
      <c r="E2330" s="6" t="n">
        <v>0.0245272166046291</v>
      </c>
      <c r="F2330" s="7" t="n">
        <v>1.59563854582352E-013</v>
      </c>
    </row>
    <row r="2331" customFormat="false" ht="15" hidden="false" customHeight="true" outlineLevel="0" collapsed="false">
      <c r="A2331" s="5" t="s">
        <v>88</v>
      </c>
      <c r="B2331" s="5" t="s">
        <v>86</v>
      </c>
      <c r="C2331" s="5" t="s">
        <v>721</v>
      </c>
      <c r="D2331" s="6" t="n">
        <v>0.181235664329032</v>
      </c>
      <c r="E2331" s="6" t="n">
        <v>0.0245278225667635</v>
      </c>
      <c r="F2331" s="7" t="n">
        <v>1.47956065467385E-013</v>
      </c>
    </row>
    <row r="2332" customFormat="false" ht="15" hidden="false" customHeight="true" outlineLevel="0" collapsed="false">
      <c r="A2332" s="5" t="s">
        <v>88</v>
      </c>
      <c r="B2332" s="5" t="s">
        <v>86</v>
      </c>
      <c r="C2332" s="5" t="s">
        <v>722</v>
      </c>
      <c r="D2332" s="6" t="n">
        <v>0.178367771885377</v>
      </c>
      <c r="E2332" s="6" t="n">
        <v>0.0245246680537751</v>
      </c>
      <c r="F2332" s="7" t="n">
        <v>3.51605066201962E-013</v>
      </c>
    </row>
    <row r="2333" customFormat="false" ht="15" hidden="false" customHeight="true" outlineLevel="0" collapsed="false">
      <c r="A2333" s="5" t="s">
        <v>88</v>
      </c>
      <c r="B2333" s="5" t="s">
        <v>86</v>
      </c>
      <c r="C2333" s="5" t="s">
        <v>723</v>
      </c>
      <c r="D2333" s="6" t="n">
        <v>0.180062779122899</v>
      </c>
      <c r="E2333" s="6" t="n">
        <v>0.0245181813465115</v>
      </c>
      <c r="F2333" s="7" t="n">
        <v>2.07223794104883E-013</v>
      </c>
    </row>
    <row r="2334" customFormat="false" ht="15" hidden="false" customHeight="true" outlineLevel="0" collapsed="false">
      <c r="A2334" s="5" t="s">
        <v>88</v>
      </c>
      <c r="B2334" s="5" t="s">
        <v>86</v>
      </c>
      <c r="C2334" s="5" t="s">
        <v>724</v>
      </c>
      <c r="D2334" s="6" t="n">
        <v>0.181420712181819</v>
      </c>
      <c r="E2334" s="6" t="n">
        <v>0.024535715127581</v>
      </c>
      <c r="F2334" s="7" t="n">
        <v>1.42317687389447E-013</v>
      </c>
    </row>
    <row r="2335" customFormat="false" ht="15" hidden="false" customHeight="true" outlineLevel="0" collapsed="false">
      <c r="A2335" s="5" t="s">
        <v>88</v>
      </c>
      <c r="B2335" s="5" t="s">
        <v>86</v>
      </c>
      <c r="C2335" s="5" t="s">
        <v>725</v>
      </c>
      <c r="D2335" s="6" t="n">
        <v>0.181607923048225</v>
      </c>
      <c r="E2335" s="6" t="n">
        <v>0.0245155746524715</v>
      </c>
      <c r="F2335" s="7" t="n">
        <v>1.28354554145069E-013</v>
      </c>
    </row>
    <row r="2336" customFormat="false" ht="15" hidden="false" customHeight="true" outlineLevel="0" collapsed="false">
      <c r="A2336" s="5" t="s">
        <v>88</v>
      </c>
      <c r="B2336" s="5" t="s">
        <v>86</v>
      </c>
      <c r="C2336" s="5" t="s">
        <v>726</v>
      </c>
      <c r="D2336" s="6" t="n">
        <v>0.180632184092177</v>
      </c>
      <c r="E2336" s="6" t="n">
        <v>0.0245237187441444</v>
      </c>
      <c r="F2336" s="7" t="n">
        <v>1.76336706067895E-013</v>
      </c>
    </row>
    <row r="2337" customFormat="false" ht="15" hidden="false" customHeight="true" outlineLevel="0" collapsed="false">
      <c r="A2337" s="5" t="s">
        <v>88</v>
      </c>
      <c r="B2337" s="5" t="s">
        <v>86</v>
      </c>
      <c r="C2337" s="5" t="s">
        <v>727</v>
      </c>
      <c r="D2337" s="6" t="n">
        <v>0.180421623013537</v>
      </c>
      <c r="E2337" s="6" t="n">
        <v>0.0245029497698523</v>
      </c>
      <c r="F2337" s="7" t="n">
        <v>1.79470507468744E-013</v>
      </c>
    </row>
    <row r="2338" customFormat="false" ht="15" hidden="false" customHeight="true" outlineLevel="0" collapsed="false">
      <c r="A2338" s="5" t="s">
        <v>88</v>
      </c>
      <c r="B2338" s="5" t="s">
        <v>86</v>
      </c>
      <c r="C2338" s="5" t="s">
        <v>728</v>
      </c>
      <c r="D2338" s="6" t="n">
        <v>0.180870627512657</v>
      </c>
      <c r="E2338" s="6" t="n">
        <v>0.0245252546514056</v>
      </c>
      <c r="F2338" s="7" t="n">
        <v>1.64502335141292E-013</v>
      </c>
    </row>
    <row r="2339" customFormat="false" ht="15" hidden="false" customHeight="true" outlineLevel="0" collapsed="false">
      <c r="A2339" s="5" t="s">
        <v>88</v>
      </c>
      <c r="B2339" s="5" t="s">
        <v>86</v>
      </c>
      <c r="C2339" s="5" t="s">
        <v>729</v>
      </c>
      <c r="D2339" s="6" t="n">
        <v>0.181348886657725</v>
      </c>
      <c r="E2339" s="6" t="n">
        <v>0.0245331664124147</v>
      </c>
      <c r="F2339" s="7" t="n">
        <v>1.44648921450572E-013</v>
      </c>
    </row>
    <row r="2340" customFormat="false" ht="15" hidden="false" customHeight="true" outlineLevel="0" collapsed="false">
      <c r="A2340" s="5" t="s">
        <v>88</v>
      </c>
      <c r="B2340" s="5" t="s">
        <v>86</v>
      </c>
      <c r="C2340" s="5" t="s">
        <v>730</v>
      </c>
      <c r="D2340" s="6" t="n">
        <v>0.180617463714448</v>
      </c>
      <c r="E2340" s="6" t="n">
        <v>0.0245222571820809</v>
      </c>
      <c r="F2340" s="7" t="n">
        <v>1.7655004506391E-013</v>
      </c>
    </row>
    <row r="2341" customFormat="false" ht="15" hidden="false" customHeight="true" outlineLevel="0" collapsed="false">
      <c r="A2341" s="5" t="s">
        <v>88</v>
      </c>
      <c r="B2341" s="5" t="s">
        <v>86</v>
      </c>
      <c r="C2341" s="5" t="s">
        <v>731</v>
      </c>
      <c r="D2341" s="6" t="n">
        <v>0.1804209412685</v>
      </c>
      <c r="E2341" s="6" t="n">
        <v>0.0245730200547855</v>
      </c>
      <c r="F2341" s="7" t="n">
        <v>2.10052737548582E-013</v>
      </c>
    </row>
    <row r="2342" customFormat="false" ht="15" hidden="false" customHeight="true" outlineLevel="0" collapsed="false">
      <c r="A2342" s="5" t="s">
        <v>88</v>
      </c>
      <c r="B2342" s="5" t="s">
        <v>86</v>
      </c>
      <c r="C2342" s="5" t="s">
        <v>190</v>
      </c>
      <c r="D2342" s="6" t="n">
        <v>0.176619475689501</v>
      </c>
      <c r="E2342" s="6" t="n">
        <v>0.0242440367825923</v>
      </c>
      <c r="F2342" s="7" t="n">
        <v>3.21506213139426E-013</v>
      </c>
    </row>
    <row r="2343" customFormat="false" ht="15" hidden="false" customHeight="true" outlineLevel="0" collapsed="false">
      <c r="A2343" s="5" t="s">
        <v>88</v>
      </c>
      <c r="B2343" s="5" t="s">
        <v>86</v>
      </c>
      <c r="C2343" s="5" t="s">
        <v>732</v>
      </c>
      <c r="D2343" s="6" t="n">
        <v>0.180578095531586</v>
      </c>
      <c r="E2343" s="6" t="n">
        <v>0.0245068345374095</v>
      </c>
      <c r="F2343" s="7" t="n">
        <v>1.72585717723366E-013</v>
      </c>
    </row>
    <row r="2344" customFormat="false" ht="15" hidden="false" customHeight="true" outlineLevel="0" collapsed="false">
      <c r="A2344" s="5" t="s">
        <v>88</v>
      </c>
      <c r="B2344" s="5" t="s">
        <v>86</v>
      </c>
      <c r="C2344" s="5" t="s">
        <v>790</v>
      </c>
      <c r="D2344" s="6" t="n">
        <v>0.179436719666917</v>
      </c>
      <c r="E2344" s="6" t="n">
        <v>0.024426388596273</v>
      </c>
      <c r="F2344" s="7" t="n">
        <v>2.04197053033511E-013</v>
      </c>
    </row>
    <row r="2345" customFormat="false" ht="15" hidden="false" customHeight="true" outlineLevel="0" collapsed="false">
      <c r="A2345" s="5" t="s">
        <v>88</v>
      </c>
      <c r="B2345" s="5" t="s">
        <v>86</v>
      </c>
      <c r="C2345" s="5" t="s">
        <v>733</v>
      </c>
      <c r="D2345" s="6" t="n">
        <v>0.181031259999149</v>
      </c>
      <c r="E2345" s="6" t="n">
        <v>0.0245427648980489</v>
      </c>
      <c r="F2345" s="7" t="n">
        <v>1.62925227709389E-013</v>
      </c>
    </row>
    <row r="2346" customFormat="false" ht="15" hidden="false" customHeight="true" outlineLevel="0" collapsed="false">
      <c r="A2346" s="5" t="s">
        <v>88</v>
      </c>
      <c r="B2346" s="5" t="s">
        <v>86</v>
      </c>
      <c r="C2346" s="5" t="s">
        <v>734</v>
      </c>
      <c r="D2346" s="6" t="n">
        <v>0.180014003041372</v>
      </c>
      <c r="E2346" s="6" t="n">
        <v>0.0245069397319658</v>
      </c>
      <c r="F2346" s="7" t="n">
        <v>2.05099102709685E-013</v>
      </c>
    </row>
    <row r="2347" customFormat="false" ht="15" hidden="false" customHeight="true" outlineLevel="0" collapsed="false">
      <c r="A2347" s="5" t="s">
        <v>88</v>
      </c>
      <c r="B2347" s="5" t="s">
        <v>86</v>
      </c>
      <c r="C2347" s="5" t="s">
        <v>735</v>
      </c>
      <c r="D2347" s="6" t="n">
        <v>0.182412254236325</v>
      </c>
      <c r="E2347" s="6" t="n">
        <v>0.0244777004957144</v>
      </c>
      <c r="F2347" s="7" t="n">
        <v>9.18096571100551E-014</v>
      </c>
    </row>
    <row r="2348" customFormat="false" ht="15" hidden="false" customHeight="true" outlineLevel="0" collapsed="false">
      <c r="A2348" s="5" t="s">
        <v>88</v>
      </c>
      <c r="B2348" s="5" t="s">
        <v>86</v>
      </c>
      <c r="C2348" s="5" t="s">
        <v>736</v>
      </c>
      <c r="D2348" s="6" t="n">
        <v>0.181368480155944</v>
      </c>
      <c r="E2348" s="6" t="n">
        <v>0.0245225074656761</v>
      </c>
      <c r="F2348" s="7" t="n">
        <v>1.40347362072029E-013</v>
      </c>
    </row>
    <row r="2349" customFormat="false" ht="15" hidden="false" customHeight="true" outlineLevel="0" collapsed="false">
      <c r="A2349" s="5" t="s">
        <v>88</v>
      </c>
      <c r="B2349" s="5" t="s">
        <v>86</v>
      </c>
      <c r="C2349" s="5" t="s">
        <v>737</v>
      </c>
      <c r="D2349" s="6" t="n">
        <v>0.181900491866028</v>
      </c>
      <c r="E2349" s="6" t="n">
        <v>0.0245242524422622</v>
      </c>
      <c r="F2349" s="7" t="n">
        <v>1.19651452982258E-013</v>
      </c>
    </row>
    <row r="2350" customFormat="false" ht="15" hidden="false" customHeight="true" outlineLevel="0" collapsed="false">
      <c r="A2350" s="5" t="s">
        <v>88</v>
      </c>
      <c r="B2350" s="5" t="s">
        <v>86</v>
      </c>
      <c r="C2350" s="5" t="s">
        <v>738</v>
      </c>
      <c r="D2350" s="6" t="n">
        <v>0.180379693973752</v>
      </c>
      <c r="E2350" s="6" t="n">
        <v>0.0245181477431083</v>
      </c>
      <c r="F2350" s="7" t="n">
        <v>1.88107674052552E-013</v>
      </c>
    </row>
    <row r="2351" customFormat="false" ht="15" hidden="false" customHeight="true" outlineLevel="0" collapsed="false">
      <c r="A2351" s="5" t="s">
        <v>88</v>
      </c>
      <c r="B2351" s="5" t="s">
        <v>86</v>
      </c>
      <c r="C2351" s="5" t="s">
        <v>739</v>
      </c>
      <c r="D2351" s="6" t="n">
        <v>0.182318761941366</v>
      </c>
      <c r="E2351" s="6" t="n">
        <v>0.0245214406638408</v>
      </c>
      <c r="F2351" s="7" t="n">
        <v>1.04508279128721E-013</v>
      </c>
    </row>
    <row r="2352" customFormat="false" ht="15" hidden="false" customHeight="true" outlineLevel="0" collapsed="false">
      <c r="A2352" s="5" t="s">
        <v>88</v>
      </c>
      <c r="B2352" s="5" t="s">
        <v>86</v>
      </c>
      <c r="C2352" s="5" t="s">
        <v>791</v>
      </c>
      <c r="D2352" s="6" t="n">
        <v>0.181613326259532</v>
      </c>
      <c r="E2352" s="6" t="n">
        <v>0.024538799183647</v>
      </c>
      <c r="F2352" s="7" t="n">
        <v>1.35093324963776E-013</v>
      </c>
    </row>
    <row r="2353" customFormat="false" ht="15" hidden="false" customHeight="true" outlineLevel="0" collapsed="false">
      <c r="A2353" s="5" t="s">
        <v>88</v>
      </c>
      <c r="B2353" s="5" t="s">
        <v>86</v>
      </c>
      <c r="C2353" s="5" t="s">
        <v>740</v>
      </c>
      <c r="D2353" s="6" t="n">
        <v>0.181802289152284</v>
      </c>
      <c r="E2353" s="6" t="n">
        <v>0.0245169633972862</v>
      </c>
      <c r="F2353" s="7" t="n">
        <v>1.2128817552988E-013</v>
      </c>
    </row>
    <row r="2354" customFormat="false" ht="15" hidden="false" customHeight="true" outlineLevel="0" collapsed="false">
      <c r="A2354" s="5" t="s">
        <v>88</v>
      </c>
      <c r="B2354" s="5" t="s">
        <v>86</v>
      </c>
      <c r="C2354" s="5" t="s">
        <v>741</v>
      </c>
      <c r="D2354" s="6" t="n">
        <v>0.182419000060943</v>
      </c>
      <c r="E2354" s="6" t="n">
        <v>0.0244518640467195</v>
      </c>
      <c r="F2354" s="7" t="n">
        <v>8.63053708397924E-014</v>
      </c>
    </row>
    <row r="2355" customFormat="false" ht="15" hidden="false" customHeight="true" outlineLevel="0" collapsed="false">
      <c r="A2355" s="5" t="s">
        <v>88</v>
      </c>
      <c r="B2355" s="5" t="s">
        <v>86</v>
      </c>
      <c r="C2355" s="5" t="s">
        <v>742</v>
      </c>
      <c r="D2355" s="6" t="n">
        <v>0.181188086225802</v>
      </c>
      <c r="E2355" s="6" t="n">
        <v>0.0245284976223965</v>
      </c>
      <c r="F2355" s="7" t="n">
        <v>1.50359400487103E-013</v>
      </c>
    </row>
    <row r="2356" customFormat="false" ht="15" hidden="false" customHeight="true" outlineLevel="0" collapsed="false">
      <c r="A2356" s="5" t="s">
        <v>88</v>
      </c>
      <c r="B2356" s="5" t="s">
        <v>86</v>
      </c>
      <c r="C2356" s="5" t="s">
        <v>743</v>
      </c>
      <c r="D2356" s="6" t="n">
        <v>0.181044580222434</v>
      </c>
      <c r="E2356" s="6" t="n">
        <v>0.0245291923060813</v>
      </c>
      <c r="F2356" s="7" t="n">
        <v>1.57364456565536E-013</v>
      </c>
    </row>
    <row r="2357" customFormat="false" ht="15" hidden="false" customHeight="true" outlineLevel="0" collapsed="false">
      <c r="A2357" s="5" t="s">
        <v>88</v>
      </c>
      <c r="B2357" s="5" t="s">
        <v>86</v>
      </c>
      <c r="C2357" s="5" t="s">
        <v>182</v>
      </c>
      <c r="D2357" s="6" t="n">
        <v>0.181072276603173</v>
      </c>
      <c r="E2357" s="6" t="n">
        <v>0.0245229718600794</v>
      </c>
      <c r="F2357" s="7" t="n">
        <v>1.53855363588396E-013</v>
      </c>
    </row>
    <row r="2358" customFormat="false" ht="15" hidden="false" customHeight="true" outlineLevel="0" collapsed="false">
      <c r="A2358" s="5" t="s">
        <v>88</v>
      </c>
      <c r="B2358" s="5" t="s">
        <v>86</v>
      </c>
      <c r="C2358" s="5" t="s">
        <v>744</v>
      </c>
      <c r="D2358" s="6" t="n">
        <v>0.181070748144371</v>
      </c>
      <c r="E2358" s="6" t="n">
        <v>0.0245215945820337</v>
      </c>
      <c r="F2358" s="7" t="n">
        <v>1.53448475634431E-013</v>
      </c>
    </row>
    <row r="2359" customFormat="false" ht="15" hidden="false" customHeight="true" outlineLevel="0" collapsed="false">
      <c r="A2359" s="5" t="s">
        <v>88</v>
      </c>
      <c r="B2359" s="5" t="s">
        <v>86</v>
      </c>
      <c r="C2359" s="5" t="s">
        <v>745</v>
      </c>
      <c r="D2359" s="6" t="n">
        <v>0.180823398365968</v>
      </c>
      <c r="E2359" s="6" t="n">
        <v>0.0245135776400766</v>
      </c>
      <c r="F2359" s="7" t="n">
        <v>1.62555015269322E-013</v>
      </c>
    </row>
    <row r="2360" customFormat="false" ht="15" hidden="false" customHeight="true" outlineLevel="0" collapsed="false">
      <c r="A2360" s="5" t="s">
        <v>88</v>
      </c>
      <c r="B2360" s="5" t="s">
        <v>86</v>
      </c>
      <c r="C2360" s="5" t="s">
        <v>746</v>
      </c>
      <c r="D2360" s="6" t="n">
        <v>0.179743496478292</v>
      </c>
      <c r="E2360" s="6" t="n">
        <v>0.0246560056605492</v>
      </c>
      <c r="F2360" s="7" t="n">
        <v>3.09841654902984E-013</v>
      </c>
    </row>
    <row r="2361" customFormat="false" ht="15" hidden="false" customHeight="true" outlineLevel="0" collapsed="false">
      <c r="A2361" s="5" t="s">
        <v>88</v>
      </c>
      <c r="B2361" s="5" t="s">
        <v>86</v>
      </c>
      <c r="C2361" s="5" t="s">
        <v>747</v>
      </c>
      <c r="D2361" s="6" t="n">
        <v>0.18145041094968</v>
      </c>
      <c r="E2361" s="6" t="n">
        <v>0.0245239756456087</v>
      </c>
      <c r="F2361" s="7" t="n">
        <v>1.37318575552597E-013</v>
      </c>
    </row>
    <row r="2362" customFormat="false" ht="15" hidden="false" customHeight="true" outlineLevel="0" collapsed="false">
      <c r="A2362" s="5" t="s">
        <v>88</v>
      </c>
      <c r="B2362" s="5" t="s">
        <v>86</v>
      </c>
      <c r="C2362" s="5" t="s">
        <v>748</v>
      </c>
      <c r="D2362" s="6" t="n">
        <v>0.180770298125753</v>
      </c>
      <c r="E2362" s="6" t="n">
        <v>0.0245144978619241</v>
      </c>
      <c r="F2362" s="7" t="n">
        <v>1.65563373742501E-013</v>
      </c>
    </row>
    <row r="2363" customFormat="false" ht="15" hidden="false" customHeight="true" outlineLevel="0" collapsed="false">
      <c r="A2363" s="5" t="s">
        <v>88</v>
      </c>
      <c r="B2363" s="5" t="s">
        <v>86</v>
      </c>
      <c r="C2363" s="5" t="s">
        <v>749</v>
      </c>
      <c r="D2363" s="6" t="n">
        <v>0.180085640918407</v>
      </c>
      <c r="E2363" s="6" t="n">
        <v>0.0244966316492241</v>
      </c>
      <c r="F2363" s="7" t="n">
        <v>1.96075406656202E-013</v>
      </c>
    </row>
    <row r="2364" customFormat="false" ht="15" hidden="false" customHeight="true" outlineLevel="0" collapsed="false">
      <c r="A2364" s="5" t="s">
        <v>88</v>
      </c>
      <c r="B2364" s="5" t="s">
        <v>86</v>
      </c>
      <c r="C2364" s="5" t="s">
        <v>750</v>
      </c>
      <c r="D2364" s="6" t="n">
        <v>0.181829470282402</v>
      </c>
      <c r="E2364" s="6" t="n">
        <v>0.0245162913950246</v>
      </c>
      <c r="F2364" s="7" t="n">
        <v>1.20093288867882E-013</v>
      </c>
    </row>
    <row r="2365" customFormat="false" ht="15" hidden="false" customHeight="true" outlineLevel="0" collapsed="false">
      <c r="A2365" s="5" t="s">
        <v>88</v>
      </c>
      <c r="B2365" s="5" t="s">
        <v>86</v>
      </c>
      <c r="C2365" s="5" t="s">
        <v>751</v>
      </c>
      <c r="D2365" s="6" t="n">
        <v>0.181577325112563</v>
      </c>
      <c r="E2365" s="6" t="n">
        <v>0.0245283163718688</v>
      </c>
      <c r="F2365" s="7" t="n">
        <v>1.33379175728611E-013</v>
      </c>
    </row>
    <row r="2366" customFormat="false" ht="15" hidden="false" customHeight="true" outlineLevel="0" collapsed="false">
      <c r="A2366" s="5" t="s">
        <v>88</v>
      </c>
      <c r="B2366" s="5" t="s">
        <v>86</v>
      </c>
      <c r="C2366" s="5" t="s">
        <v>752</v>
      </c>
      <c r="D2366" s="6" t="n">
        <v>0.181317754749103</v>
      </c>
      <c r="E2366" s="6" t="n">
        <v>0.0245250444777758</v>
      </c>
      <c r="F2366" s="7" t="n">
        <v>1.43371989476467E-013</v>
      </c>
    </row>
    <row r="2367" customFormat="false" ht="15" hidden="false" customHeight="true" outlineLevel="0" collapsed="false">
      <c r="A2367" s="5" t="s">
        <v>88</v>
      </c>
      <c r="B2367" s="5" t="s">
        <v>86</v>
      </c>
      <c r="C2367" s="5" t="s">
        <v>753</v>
      </c>
      <c r="D2367" s="6" t="n">
        <v>0.179478707228238</v>
      </c>
      <c r="E2367" s="6" t="n">
        <v>0.0245031603413674</v>
      </c>
      <c r="F2367" s="7" t="n">
        <v>2.39403956202617E-013</v>
      </c>
    </row>
    <row r="2368" customFormat="false" ht="15" hidden="false" customHeight="true" outlineLevel="0" collapsed="false">
      <c r="A2368" s="5" t="s">
        <v>88</v>
      </c>
      <c r="B2368" s="5" t="s">
        <v>86</v>
      </c>
      <c r="C2368" s="5" t="s">
        <v>754</v>
      </c>
      <c r="D2368" s="6" t="n">
        <v>0.180878531945468</v>
      </c>
      <c r="E2368" s="6" t="n">
        <v>0.0245171049151735</v>
      </c>
      <c r="F2368" s="7" t="n">
        <v>1.61112115707765E-013</v>
      </c>
    </row>
    <row r="2369" customFormat="false" ht="15" hidden="false" customHeight="true" outlineLevel="0" collapsed="false">
      <c r="A2369" s="5" t="s">
        <v>88</v>
      </c>
      <c r="B2369" s="5" t="s">
        <v>86</v>
      </c>
      <c r="C2369" s="5" t="s">
        <v>755</v>
      </c>
      <c r="D2369" s="6" t="n">
        <v>0.179880241241179</v>
      </c>
      <c r="E2369" s="6" t="n">
        <v>0.0244894292393298</v>
      </c>
      <c r="F2369" s="7" t="n">
        <v>2.05421196179059E-013</v>
      </c>
    </row>
    <row r="2370" customFormat="false" ht="15" hidden="false" customHeight="true" outlineLevel="0" collapsed="false">
      <c r="A2370" s="5" t="s">
        <v>88</v>
      </c>
      <c r="B2370" s="5" t="s">
        <v>86</v>
      </c>
      <c r="C2370" s="5" t="s">
        <v>756</v>
      </c>
      <c r="D2370" s="6" t="n">
        <v>0.182065891700154</v>
      </c>
      <c r="E2370" s="6" t="n">
        <v>0.0245353938923835</v>
      </c>
      <c r="F2370" s="7" t="n">
        <v>1.16643058376569E-013</v>
      </c>
    </row>
    <row r="2371" customFormat="false" ht="15" hidden="false" customHeight="true" outlineLevel="0" collapsed="false">
      <c r="A2371" s="5" t="s">
        <v>88</v>
      </c>
      <c r="B2371" s="5" t="s">
        <v>86</v>
      </c>
      <c r="C2371" s="5" t="s">
        <v>757</v>
      </c>
      <c r="D2371" s="6" t="n">
        <v>0.183567282339085</v>
      </c>
      <c r="E2371" s="6" t="n">
        <v>0.0244787272731262</v>
      </c>
      <c r="F2371" s="7" t="n">
        <v>6.42803517307562E-014</v>
      </c>
    </row>
    <row r="2372" customFormat="false" ht="15" hidden="false" customHeight="true" outlineLevel="0" collapsed="false">
      <c r="A2372" s="5" t="s">
        <v>88</v>
      </c>
      <c r="B2372" s="5" t="s">
        <v>86</v>
      </c>
      <c r="C2372" s="5" t="s">
        <v>758</v>
      </c>
      <c r="D2372" s="6" t="n">
        <v>0.180293161124211</v>
      </c>
      <c r="E2372" s="6" t="n">
        <v>0.0245239864491404</v>
      </c>
      <c r="F2372" s="7" t="n">
        <v>1.95691511974121E-013</v>
      </c>
    </row>
    <row r="2373" customFormat="false" ht="15" hidden="false" customHeight="true" outlineLevel="0" collapsed="false">
      <c r="A2373" s="5" t="s">
        <v>88</v>
      </c>
      <c r="B2373" s="5" t="s">
        <v>86</v>
      </c>
      <c r="C2373" s="5" t="s">
        <v>792</v>
      </c>
      <c r="D2373" s="6" t="n">
        <v>0.181519781544881</v>
      </c>
      <c r="E2373" s="6" t="n">
        <v>0.0245156308997759</v>
      </c>
      <c r="F2373" s="7" t="n">
        <v>1.31896929979771E-013</v>
      </c>
    </row>
    <row r="2374" customFormat="false" ht="15" hidden="false" customHeight="true" outlineLevel="0" collapsed="false">
      <c r="A2374" s="5" t="s">
        <v>88</v>
      </c>
      <c r="B2374" s="5" t="s">
        <v>86</v>
      </c>
      <c r="C2374" s="5" t="s">
        <v>759</v>
      </c>
      <c r="D2374" s="6" t="n">
        <v>0.180970573606063</v>
      </c>
      <c r="E2374" s="6" t="n">
        <v>0.0245155582101367</v>
      </c>
      <c r="F2374" s="7" t="n">
        <v>1.56085867289696E-013</v>
      </c>
    </row>
    <row r="2375" customFormat="false" ht="15" hidden="false" customHeight="true" outlineLevel="0" collapsed="false">
      <c r="A2375" s="5" t="s">
        <v>88</v>
      </c>
      <c r="B2375" s="5" t="s">
        <v>86</v>
      </c>
      <c r="C2375" s="5" t="s">
        <v>760</v>
      </c>
      <c r="D2375" s="6" t="n">
        <v>0.180445098254781</v>
      </c>
      <c r="E2375" s="6" t="n">
        <v>0.0245523758431605</v>
      </c>
      <c r="F2375" s="7" t="n">
        <v>1.99106596205641E-013</v>
      </c>
    </row>
    <row r="2376" customFormat="false" ht="15" hidden="false" customHeight="true" outlineLevel="0" collapsed="false">
      <c r="A2376" s="5" t="s">
        <v>88</v>
      </c>
      <c r="B2376" s="5" t="s">
        <v>86</v>
      </c>
      <c r="C2376" s="5" t="s">
        <v>761</v>
      </c>
      <c r="D2376" s="6" t="n">
        <v>0.182122659196381</v>
      </c>
      <c r="E2376" s="6" t="n">
        <v>0.0245097387171517</v>
      </c>
      <c r="F2376" s="7" t="n">
        <v>1.08086339937834E-013</v>
      </c>
    </row>
    <row r="2377" customFormat="false" ht="15" hidden="false" customHeight="true" outlineLevel="0" collapsed="false">
      <c r="A2377" s="5" t="s">
        <v>88</v>
      </c>
      <c r="B2377" s="5" t="s">
        <v>86</v>
      </c>
      <c r="C2377" s="5" t="s">
        <v>762</v>
      </c>
      <c r="D2377" s="6" t="n">
        <v>0.180020734058835</v>
      </c>
      <c r="E2377" s="6" t="n">
        <v>0.0245694015281295</v>
      </c>
      <c r="F2377" s="7" t="n">
        <v>2.35309737652375E-013</v>
      </c>
    </row>
    <row r="2378" customFormat="false" ht="15" hidden="false" customHeight="true" outlineLevel="0" collapsed="false">
      <c r="A2378" s="5" t="s">
        <v>88</v>
      </c>
      <c r="B2378" s="5" t="s">
        <v>86</v>
      </c>
      <c r="C2378" s="5" t="s">
        <v>763</v>
      </c>
      <c r="D2378" s="6" t="n">
        <v>0.181482826669666</v>
      </c>
      <c r="E2378" s="6" t="n">
        <v>0.0245210244176079</v>
      </c>
      <c r="F2378" s="7" t="n">
        <v>1.35049652584029E-013</v>
      </c>
    </row>
    <row r="2379" customFormat="false" ht="15" hidden="false" customHeight="true" outlineLevel="0" collapsed="false">
      <c r="A2379" s="5" t="s">
        <v>88</v>
      </c>
      <c r="B2379" s="5" t="s">
        <v>86</v>
      </c>
      <c r="C2379" s="5" t="s">
        <v>764</v>
      </c>
      <c r="D2379" s="6" t="n">
        <v>0.178374222559018</v>
      </c>
      <c r="E2379" s="6" t="n">
        <v>0.0243808745054543</v>
      </c>
      <c r="F2379" s="7" t="n">
        <v>2.55179580640638E-013</v>
      </c>
    </row>
    <row r="2380" customFormat="false" ht="15" hidden="false" customHeight="true" outlineLevel="0" collapsed="false">
      <c r="A2380" s="5" t="s">
        <v>88</v>
      </c>
      <c r="B2380" s="5" t="s">
        <v>86</v>
      </c>
      <c r="C2380" s="5" t="s">
        <v>765</v>
      </c>
      <c r="D2380" s="6" t="n">
        <v>0.180261964998918</v>
      </c>
      <c r="E2380" s="6" t="n">
        <v>0.024485623183328</v>
      </c>
      <c r="F2380" s="7" t="n">
        <v>1.81241121991934E-013</v>
      </c>
    </row>
    <row r="2381" customFormat="false" ht="15" hidden="false" customHeight="true" outlineLevel="0" collapsed="false">
      <c r="A2381" s="5" t="s">
        <v>88</v>
      </c>
      <c r="B2381" s="5" t="s">
        <v>86</v>
      </c>
      <c r="C2381" s="5" t="s">
        <v>306</v>
      </c>
      <c r="D2381" s="6" t="n">
        <v>0.181289525779766</v>
      </c>
      <c r="E2381" s="6" t="n">
        <v>0.0244872772825024</v>
      </c>
      <c r="F2381" s="7" t="n">
        <v>1.32724095960769E-013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8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 min="2" style="1" width="34"/>
    <col collapsed="false" customWidth="true" hidden="false" outlineLevel="0" max="4" min="3" style="1" width="12"/>
    <col collapsed="false" customWidth="true" hidden="false" outlineLevel="0" max="5" min="5" style="1" width="10"/>
    <col collapsed="false" customWidth="true" hidden="false" outlineLevel="0" max="6" min="6" style="1" width="14"/>
    <col collapsed="false" customWidth="true" hidden="false" outlineLevel="0" max="7" min="7" style="1" width="12"/>
  </cols>
  <sheetData>
    <row r="1" customFormat="false" ht="31.5" hidden="false" customHeight="true" outlineLevel="0" collapsed="false">
      <c r="A1" s="4" t="s">
        <v>46</v>
      </c>
      <c r="B1" s="4" t="s">
        <v>47</v>
      </c>
      <c r="C1" s="4" t="s">
        <v>71</v>
      </c>
      <c r="D1" s="4" t="s">
        <v>72</v>
      </c>
      <c r="E1" s="4" t="s">
        <v>793</v>
      </c>
      <c r="F1" s="4" t="s">
        <v>794</v>
      </c>
      <c r="G1" s="4" t="s">
        <v>795</v>
      </c>
    </row>
    <row r="2" customFormat="false" ht="15" hidden="false" customHeight="true" outlineLevel="0" collapsed="false">
      <c r="A2" s="5" t="s">
        <v>74</v>
      </c>
      <c r="B2" s="5" t="s">
        <v>75</v>
      </c>
      <c r="C2" s="6" t="n">
        <v>0.0330561813007661</v>
      </c>
      <c r="D2" s="6" t="n">
        <v>0.00159149855988473</v>
      </c>
      <c r="E2" s="10" t="n">
        <f aca="false">C2/D2</f>
        <v>20.7704751571753</v>
      </c>
      <c r="F2" s="5" t="s">
        <v>796</v>
      </c>
      <c r="G2" s="5" t="s">
        <v>797</v>
      </c>
    </row>
    <row r="3" customFormat="false" ht="15" hidden="false" customHeight="true" outlineLevel="0" collapsed="false">
      <c r="A3" s="5" t="s">
        <v>88</v>
      </c>
      <c r="B3" s="5" t="s">
        <v>75</v>
      </c>
      <c r="C3" s="6" t="n">
        <v>0.0458925200775182</v>
      </c>
      <c r="D3" s="6" t="n">
        <v>0.00504094168186832</v>
      </c>
      <c r="E3" s="10" t="n">
        <f aca="false">C3/D3</f>
        <v>9.10395774713845</v>
      </c>
      <c r="F3" s="5" t="s">
        <v>796</v>
      </c>
      <c r="G3" s="5" t="s">
        <v>797</v>
      </c>
    </row>
    <row r="4" customFormat="false" ht="15" hidden="false" customHeight="true" outlineLevel="0" collapsed="false">
      <c r="A4" s="5" t="s">
        <v>74</v>
      </c>
      <c r="B4" s="5" t="s">
        <v>79</v>
      </c>
      <c r="C4" s="6" t="n">
        <v>0.0352508673691591</v>
      </c>
      <c r="D4" s="6" t="n">
        <v>0.000413027638846138</v>
      </c>
      <c r="E4" s="10" t="n">
        <f aca="false">C4/D4</f>
        <v>85.3474781194748</v>
      </c>
      <c r="F4" s="5" t="s">
        <v>796</v>
      </c>
      <c r="G4" s="5" t="s">
        <v>797</v>
      </c>
    </row>
    <row r="5" customFormat="false" ht="15" hidden="false" customHeight="true" outlineLevel="0" collapsed="false">
      <c r="A5" s="5" t="s">
        <v>88</v>
      </c>
      <c r="B5" s="5" t="s">
        <v>79</v>
      </c>
      <c r="C5" s="6" t="n">
        <v>0.0479092649307965</v>
      </c>
      <c r="D5" s="6" t="n">
        <v>0.0013979899242324</v>
      </c>
      <c r="E5" s="10" t="n">
        <f aca="false">C5/D5</f>
        <v>34.2701074595386</v>
      </c>
      <c r="F5" s="5" t="s">
        <v>796</v>
      </c>
      <c r="G5" s="5" t="s">
        <v>797</v>
      </c>
    </row>
    <row r="6" customFormat="false" ht="15" hidden="false" customHeight="true" outlineLevel="0" collapsed="false">
      <c r="A6" s="5" t="s">
        <v>74</v>
      </c>
      <c r="B6" s="5" t="s">
        <v>83</v>
      </c>
      <c r="C6" s="6" t="n">
        <v>0.0350788529625043</v>
      </c>
      <c r="D6" s="6" t="n">
        <v>0.00235110192244218</v>
      </c>
      <c r="E6" s="10" t="n">
        <f aca="false">C6/D6</f>
        <v>14.9201753559312</v>
      </c>
      <c r="F6" s="5" t="s">
        <v>796</v>
      </c>
      <c r="G6" s="5" t="s">
        <v>797</v>
      </c>
    </row>
    <row r="7" customFormat="false" ht="15" hidden="false" customHeight="true" outlineLevel="0" collapsed="false">
      <c r="A7" s="5" t="s">
        <v>88</v>
      </c>
      <c r="B7" s="5" t="s">
        <v>83</v>
      </c>
      <c r="C7" s="6" t="n">
        <v>0.047543358521562</v>
      </c>
      <c r="D7" s="6" t="n">
        <v>0.00629647766718489</v>
      </c>
      <c r="E7" s="10" t="n">
        <f aca="false">C7/D7</f>
        <v>7.55078649279452</v>
      </c>
      <c r="F7" s="5" t="s">
        <v>796</v>
      </c>
      <c r="G7" s="5" t="s">
        <v>797</v>
      </c>
    </row>
    <row r="8" customFormat="false" ht="15" hidden="false" customHeight="true" outlineLevel="0" collapsed="false">
      <c r="A8" s="5" t="s">
        <v>74</v>
      </c>
      <c r="B8" s="5" t="s">
        <v>86</v>
      </c>
      <c r="C8" s="6" t="n">
        <v>0.0352508673691591</v>
      </c>
      <c r="D8" s="6" t="n">
        <v>0.00119636417765366</v>
      </c>
      <c r="E8" s="10" t="n">
        <f aca="false">C8/D8</f>
        <v>29.4649973875798</v>
      </c>
      <c r="F8" s="5" t="s">
        <v>796</v>
      </c>
      <c r="G8" s="5" t="s">
        <v>797</v>
      </c>
    </row>
    <row r="9" customFormat="false" ht="15" hidden="false" customHeight="true" outlineLevel="0" collapsed="false">
      <c r="A9" s="5" t="s">
        <v>88</v>
      </c>
      <c r="B9" s="5" t="s">
        <v>86</v>
      </c>
      <c r="C9" s="6" t="n">
        <v>0.0476394393471552</v>
      </c>
      <c r="D9" s="6" t="n">
        <v>0.00268583470079214</v>
      </c>
      <c r="E9" s="10" t="n">
        <f aca="false">C9/D9</f>
        <v>17.7372938599329</v>
      </c>
      <c r="F9" s="5" t="s">
        <v>796</v>
      </c>
      <c r="G9" s="5" t="s">
        <v>797</v>
      </c>
    </row>
    <row r="11" customFormat="false" ht="15" hidden="false" customHeight="true" outlineLevel="0" collapsed="false">
      <c r="A11" s="8" t="s">
        <v>798</v>
      </c>
    </row>
    <row r="13" customFormat="false" ht="15" hidden="false" customHeight="true" outlineLevel="0" collapsed="false">
      <c r="A13" s="2" t="s">
        <v>799</v>
      </c>
    </row>
    <row r="14" customFormat="false" ht="31.5" hidden="false" customHeight="true" outlineLevel="0" collapsed="false">
      <c r="A14" s="4" t="s">
        <v>800</v>
      </c>
      <c r="B14" s="4" t="s">
        <v>801</v>
      </c>
      <c r="C14" s="4" t="s">
        <v>46</v>
      </c>
      <c r="D14" s="4" t="s">
        <v>47</v>
      </c>
      <c r="E14" s="4" t="s">
        <v>71</v>
      </c>
      <c r="F14" s="4" t="s">
        <v>72</v>
      </c>
      <c r="G14" s="4" t="s">
        <v>794</v>
      </c>
    </row>
    <row r="15" customFormat="false" ht="15" hidden="false" customHeight="true" outlineLevel="0" collapsed="false">
      <c r="A15" s="5" t="n">
        <v>0.082</v>
      </c>
      <c r="B15" s="5" t="n">
        <v>0.1</v>
      </c>
      <c r="C15" s="5" t="s">
        <v>74</v>
      </c>
      <c r="D15" s="5" t="s">
        <v>75</v>
      </c>
      <c r="E15" s="6" t="n">
        <v>0.0330510157233503</v>
      </c>
      <c r="F15" s="6" t="n">
        <v>0.00159245071727371</v>
      </c>
      <c r="G15" s="5" t="s">
        <v>796</v>
      </c>
    </row>
    <row r="16" customFormat="false" ht="15" hidden="false" customHeight="true" outlineLevel="0" collapsed="false">
      <c r="A16" s="5" t="n">
        <v>0.082</v>
      </c>
      <c r="B16" s="5" t="n">
        <v>0.1</v>
      </c>
      <c r="C16" s="5" t="s">
        <v>88</v>
      </c>
      <c r="D16" s="5" t="s">
        <v>75</v>
      </c>
      <c r="E16" s="6" t="n">
        <v>0.0458925200775182</v>
      </c>
      <c r="F16" s="6" t="n">
        <v>0.00504155816882589</v>
      </c>
      <c r="G16" s="5" t="s">
        <v>796</v>
      </c>
    </row>
    <row r="17" customFormat="false" ht="15" hidden="false" customHeight="true" outlineLevel="0" collapsed="false">
      <c r="A17" s="5" t="n">
        <v>0.082</v>
      </c>
      <c r="B17" s="5" t="n">
        <v>0.1</v>
      </c>
      <c r="C17" s="5" t="s">
        <v>74</v>
      </c>
      <c r="D17" s="5" t="s">
        <v>79</v>
      </c>
      <c r="E17" s="6" t="n">
        <v>0.035245301808561</v>
      </c>
      <c r="F17" s="6" t="n">
        <v>0.000413027638846138</v>
      </c>
      <c r="G17" s="5" t="s">
        <v>796</v>
      </c>
    </row>
    <row r="18" customFormat="false" ht="15" hidden="false" customHeight="true" outlineLevel="0" collapsed="false">
      <c r="A18" s="5" t="n">
        <v>0.082</v>
      </c>
      <c r="B18" s="5" t="n">
        <v>0.1</v>
      </c>
      <c r="C18" s="5" t="s">
        <v>88</v>
      </c>
      <c r="D18" s="5" t="s">
        <v>79</v>
      </c>
      <c r="E18" s="6" t="n">
        <v>0.0479092649307965</v>
      </c>
      <c r="F18" s="6" t="n">
        <v>0.0013979899242324</v>
      </c>
      <c r="G18" s="5" t="s">
        <v>796</v>
      </c>
    </row>
    <row r="19" customFormat="false" ht="15" hidden="false" customHeight="true" outlineLevel="0" collapsed="false">
      <c r="A19" s="5" t="n">
        <v>0.082</v>
      </c>
      <c r="B19" s="5" t="n">
        <v>0.1</v>
      </c>
      <c r="C19" s="5" t="s">
        <v>74</v>
      </c>
      <c r="D19" s="5" t="s">
        <v>83</v>
      </c>
      <c r="E19" s="6" t="n">
        <v>0.0350732666792387</v>
      </c>
      <c r="F19" s="6" t="n">
        <v>0.00235156028796742</v>
      </c>
      <c r="G19" s="5" t="s">
        <v>796</v>
      </c>
    </row>
    <row r="20" customFormat="false" ht="15" hidden="false" customHeight="true" outlineLevel="0" collapsed="false">
      <c r="A20" s="5" t="n">
        <v>0.082</v>
      </c>
      <c r="B20" s="5" t="n">
        <v>0.1</v>
      </c>
      <c r="C20" s="5" t="s">
        <v>88</v>
      </c>
      <c r="D20" s="5" t="s">
        <v>83</v>
      </c>
      <c r="E20" s="6" t="n">
        <v>0.047543358521562</v>
      </c>
      <c r="F20" s="6" t="n">
        <v>0.00629544704804289</v>
      </c>
      <c r="G20" s="5" t="s">
        <v>796</v>
      </c>
    </row>
    <row r="21" customFormat="false" ht="15" hidden="false" customHeight="true" outlineLevel="0" collapsed="false">
      <c r="A21" s="5" t="n">
        <v>0.082</v>
      </c>
      <c r="B21" s="5" t="n">
        <v>0.1</v>
      </c>
      <c r="C21" s="5" t="s">
        <v>74</v>
      </c>
      <c r="D21" s="5" t="s">
        <v>86</v>
      </c>
      <c r="E21" s="6" t="n">
        <v>0.035245301808561</v>
      </c>
      <c r="F21" s="6" t="n">
        <v>0.00119664651140059</v>
      </c>
      <c r="G21" s="5" t="s">
        <v>796</v>
      </c>
    </row>
    <row r="22" customFormat="false" ht="15" hidden="false" customHeight="true" outlineLevel="0" collapsed="false">
      <c r="A22" s="5" t="n">
        <v>0.082</v>
      </c>
      <c r="B22" s="5" t="n">
        <v>0.1</v>
      </c>
      <c r="C22" s="5" t="s">
        <v>88</v>
      </c>
      <c r="D22" s="5" t="s">
        <v>86</v>
      </c>
      <c r="E22" s="6" t="n">
        <v>0.0476394393471552</v>
      </c>
      <c r="F22" s="6" t="n">
        <v>0.00268609275824145</v>
      </c>
      <c r="G22" s="5" t="s">
        <v>796</v>
      </c>
    </row>
    <row r="23" customFormat="false" ht="15" hidden="false" customHeight="true" outlineLevel="0" collapsed="false">
      <c r="A23" s="5" t="n">
        <v>0.092</v>
      </c>
      <c r="B23" s="5" t="n">
        <v>0.1</v>
      </c>
      <c r="C23" s="5" t="s">
        <v>74</v>
      </c>
      <c r="D23" s="5" t="s">
        <v>75</v>
      </c>
      <c r="E23" s="6" t="n">
        <v>0.0330561813007661</v>
      </c>
      <c r="F23" s="6" t="n">
        <v>0.00159245071727371</v>
      </c>
      <c r="G23" s="5" t="s">
        <v>796</v>
      </c>
    </row>
    <row r="24" customFormat="false" ht="15" hidden="false" customHeight="true" outlineLevel="0" collapsed="false">
      <c r="A24" s="5" t="n">
        <v>0.092</v>
      </c>
      <c r="B24" s="5" t="n">
        <v>0.1</v>
      </c>
      <c r="C24" s="5" t="s">
        <v>88</v>
      </c>
      <c r="D24" s="5" t="s">
        <v>75</v>
      </c>
      <c r="E24" s="6" t="n">
        <v>0.0458925200775182</v>
      </c>
      <c r="F24" s="6" t="n">
        <v>0.00504155816882589</v>
      </c>
      <c r="G24" s="5" t="s">
        <v>796</v>
      </c>
    </row>
    <row r="25" customFormat="false" ht="15" hidden="false" customHeight="true" outlineLevel="0" collapsed="false">
      <c r="A25" s="5" t="n">
        <v>0.092</v>
      </c>
      <c r="B25" s="5" t="n">
        <v>0.1</v>
      </c>
      <c r="C25" s="5" t="s">
        <v>74</v>
      </c>
      <c r="D25" s="5" t="s">
        <v>79</v>
      </c>
      <c r="E25" s="6" t="n">
        <v>0.0352508673691591</v>
      </c>
      <c r="F25" s="6" t="n">
        <v>0.000413027638846138</v>
      </c>
      <c r="G25" s="5" t="s">
        <v>796</v>
      </c>
    </row>
    <row r="26" customFormat="false" ht="15" hidden="false" customHeight="true" outlineLevel="0" collapsed="false">
      <c r="A26" s="5" t="n">
        <v>0.092</v>
      </c>
      <c r="B26" s="5" t="n">
        <v>0.1</v>
      </c>
      <c r="C26" s="5" t="s">
        <v>88</v>
      </c>
      <c r="D26" s="5" t="s">
        <v>79</v>
      </c>
      <c r="E26" s="6" t="n">
        <v>0.0479092649307965</v>
      </c>
      <c r="F26" s="6" t="n">
        <v>0.0013979899242324</v>
      </c>
      <c r="G26" s="5" t="s">
        <v>796</v>
      </c>
    </row>
    <row r="27" customFormat="false" ht="15" hidden="false" customHeight="true" outlineLevel="0" collapsed="false">
      <c r="A27" s="5" t="n">
        <v>0.092</v>
      </c>
      <c r="B27" s="5" t="n">
        <v>0.1</v>
      </c>
      <c r="C27" s="5" t="s">
        <v>74</v>
      </c>
      <c r="D27" s="5" t="s">
        <v>83</v>
      </c>
      <c r="E27" s="6" t="n">
        <v>0.0350788529625043</v>
      </c>
      <c r="F27" s="6" t="n">
        <v>0.00235156028796742</v>
      </c>
      <c r="G27" s="5" t="s">
        <v>796</v>
      </c>
    </row>
    <row r="28" customFormat="false" ht="15" hidden="false" customHeight="true" outlineLevel="0" collapsed="false">
      <c r="A28" s="5" t="n">
        <v>0.092</v>
      </c>
      <c r="B28" s="5" t="n">
        <v>0.1</v>
      </c>
      <c r="C28" s="5" t="s">
        <v>88</v>
      </c>
      <c r="D28" s="5" t="s">
        <v>83</v>
      </c>
      <c r="E28" s="6" t="n">
        <v>0.047543358521562</v>
      </c>
      <c r="F28" s="6" t="n">
        <v>0.00629544704804289</v>
      </c>
      <c r="G28" s="5" t="s">
        <v>796</v>
      </c>
    </row>
    <row r="29" customFormat="false" ht="15" hidden="false" customHeight="true" outlineLevel="0" collapsed="false">
      <c r="A29" s="5" t="n">
        <v>0.092</v>
      </c>
      <c r="B29" s="5" t="n">
        <v>0.1</v>
      </c>
      <c r="C29" s="5" t="s">
        <v>74</v>
      </c>
      <c r="D29" s="5" t="s">
        <v>86</v>
      </c>
      <c r="E29" s="6" t="n">
        <v>0.0352508673691591</v>
      </c>
      <c r="F29" s="6" t="n">
        <v>0.00119664651140059</v>
      </c>
      <c r="G29" s="5" t="s">
        <v>796</v>
      </c>
    </row>
    <row r="30" customFormat="false" ht="15" hidden="false" customHeight="true" outlineLevel="0" collapsed="false">
      <c r="A30" s="5" t="n">
        <v>0.092</v>
      </c>
      <c r="B30" s="5" t="n">
        <v>0.1</v>
      </c>
      <c r="C30" s="5" t="s">
        <v>88</v>
      </c>
      <c r="D30" s="5" t="s">
        <v>86</v>
      </c>
      <c r="E30" s="6" t="n">
        <v>0.0476394393471552</v>
      </c>
      <c r="F30" s="6" t="n">
        <v>0.00268609275824145</v>
      </c>
      <c r="G30" s="5" t="s">
        <v>796</v>
      </c>
    </row>
    <row r="31" customFormat="false" ht="15" hidden="false" customHeight="true" outlineLevel="0" collapsed="false">
      <c r="A31" s="5" t="n">
        <v>0.105</v>
      </c>
      <c r="B31" s="5" t="n">
        <v>0.1</v>
      </c>
      <c r="C31" s="5" t="s">
        <v>74</v>
      </c>
      <c r="D31" s="5" t="s">
        <v>75</v>
      </c>
      <c r="E31" s="6" t="n">
        <v>0.033062848682009</v>
      </c>
      <c r="F31" s="6" t="n">
        <v>0.00159245071727371</v>
      </c>
      <c r="G31" s="5" t="s">
        <v>796</v>
      </c>
    </row>
    <row r="32" customFormat="false" ht="15" hidden="false" customHeight="true" outlineLevel="0" collapsed="false">
      <c r="A32" s="5" t="n">
        <v>0.105</v>
      </c>
      <c r="B32" s="5" t="n">
        <v>0.1</v>
      </c>
      <c r="C32" s="5" t="s">
        <v>88</v>
      </c>
      <c r="D32" s="5" t="s">
        <v>75</v>
      </c>
      <c r="E32" s="6" t="n">
        <v>0.0458925200775182</v>
      </c>
      <c r="F32" s="6" t="n">
        <v>0.00504155816882589</v>
      </c>
      <c r="G32" s="5" t="s">
        <v>796</v>
      </c>
    </row>
    <row r="33" customFormat="false" ht="15" hidden="false" customHeight="true" outlineLevel="0" collapsed="false">
      <c r="A33" s="5" t="n">
        <v>0.105</v>
      </c>
      <c r="B33" s="5" t="n">
        <v>0.1</v>
      </c>
      <c r="C33" s="5" t="s">
        <v>74</v>
      </c>
      <c r="D33" s="5" t="s">
        <v>79</v>
      </c>
      <c r="E33" s="6" t="n">
        <v>0.0352580540646667</v>
      </c>
      <c r="F33" s="6" t="n">
        <v>0.000413027638846138</v>
      </c>
      <c r="G33" s="5" t="s">
        <v>796</v>
      </c>
    </row>
    <row r="34" customFormat="false" ht="15" hidden="false" customHeight="true" outlineLevel="0" collapsed="false">
      <c r="A34" s="5" t="n">
        <v>0.105</v>
      </c>
      <c r="B34" s="5" t="n">
        <v>0.1</v>
      </c>
      <c r="C34" s="5" t="s">
        <v>88</v>
      </c>
      <c r="D34" s="5" t="s">
        <v>79</v>
      </c>
      <c r="E34" s="6" t="n">
        <v>0.0479092649307965</v>
      </c>
      <c r="F34" s="6" t="n">
        <v>0.0013979899242324</v>
      </c>
      <c r="G34" s="5" t="s">
        <v>796</v>
      </c>
    </row>
    <row r="35" customFormat="false" ht="15" hidden="false" customHeight="true" outlineLevel="0" collapsed="false">
      <c r="A35" s="5" t="n">
        <v>0.105</v>
      </c>
      <c r="B35" s="5" t="n">
        <v>0.1</v>
      </c>
      <c r="C35" s="5" t="s">
        <v>74</v>
      </c>
      <c r="D35" s="5" t="s">
        <v>83</v>
      </c>
      <c r="E35" s="6" t="n">
        <v>0.0350860666262923</v>
      </c>
      <c r="F35" s="6" t="n">
        <v>0.00235156028796742</v>
      </c>
      <c r="G35" s="5" t="s">
        <v>796</v>
      </c>
    </row>
    <row r="36" customFormat="false" ht="15" hidden="false" customHeight="true" outlineLevel="0" collapsed="false">
      <c r="A36" s="5" t="n">
        <v>0.105</v>
      </c>
      <c r="B36" s="5" t="n">
        <v>0.1</v>
      </c>
      <c r="C36" s="5" t="s">
        <v>88</v>
      </c>
      <c r="D36" s="5" t="s">
        <v>83</v>
      </c>
      <c r="E36" s="6" t="n">
        <v>0.047543358521562</v>
      </c>
      <c r="F36" s="6" t="n">
        <v>0.00629544704804289</v>
      </c>
      <c r="G36" s="5" t="s">
        <v>796</v>
      </c>
    </row>
    <row r="37" customFormat="false" ht="15" hidden="false" customHeight="true" outlineLevel="0" collapsed="false">
      <c r="A37" s="5" t="n">
        <v>0.105</v>
      </c>
      <c r="B37" s="5" t="n">
        <v>0.1</v>
      </c>
      <c r="C37" s="5" t="s">
        <v>74</v>
      </c>
      <c r="D37" s="5" t="s">
        <v>86</v>
      </c>
      <c r="E37" s="6" t="n">
        <v>0.0352580540646667</v>
      </c>
      <c r="F37" s="6" t="n">
        <v>0.00119664651140059</v>
      </c>
      <c r="G37" s="5" t="s">
        <v>796</v>
      </c>
    </row>
    <row r="38" customFormat="false" ht="15" hidden="false" customHeight="true" outlineLevel="0" collapsed="false">
      <c r="A38" s="5" t="n">
        <v>0.105</v>
      </c>
      <c r="B38" s="5" t="n">
        <v>0.1</v>
      </c>
      <c r="C38" s="5" t="s">
        <v>88</v>
      </c>
      <c r="D38" s="5" t="s">
        <v>86</v>
      </c>
      <c r="E38" s="6" t="n">
        <v>0.0476394393471552</v>
      </c>
      <c r="F38" s="6" t="n">
        <v>0.00268609275824145</v>
      </c>
      <c r="G38" s="5" t="s">
        <v>796</v>
      </c>
    </row>
    <row r="39" customFormat="false" ht="15" hidden="false" customHeight="true" outlineLevel="0" collapsed="false">
      <c r="A39" s="5" t="n">
        <v>0.082</v>
      </c>
      <c r="B39" s="5" t="n">
        <v>0.172</v>
      </c>
      <c r="C39" s="5" t="s">
        <v>74</v>
      </c>
      <c r="D39" s="5" t="s">
        <v>75</v>
      </c>
      <c r="E39" s="6" t="n">
        <v>0.0330510157233503</v>
      </c>
      <c r="F39" s="6" t="n">
        <v>0.00159149855988473</v>
      </c>
      <c r="G39" s="5" t="s">
        <v>796</v>
      </c>
    </row>
    <row r="40" customFormat="false" ht="15" hidden="false" customHeight="true" outlineLevel="0" collapsed="false">
      <c r="A40" s="5" t="n">
        <v>0.082</v>
      </c>
      <c r="B40" s="5" t="n">
        <v>0.172</v>
      </c>
      <c r="C40" s="5" t="s">
        <v>88</v>
      </c>
      <c r="D40" s="5" t="s">
        <v>75</v>
      </c>
      <c r="E40" s="6" t="n">
        <v>0.0458925200775182</v>
      </c>
      <c r="F40" s="6" t="n">
        <v>0.00504094168186832</v>
      </c>
      <c r="G40" s="5" t="s">
        <v>796</v>
      </c>
    </row>
    <row r="41" customFormat="false" ht="15" hidden="false" customHeight="true" outlineLevel="0" collapsed="false">
      <c r="A41" s="5" t="n">
        <v>0.082</v>
      </c>
      <c r="B41" s="5" t="n">
        <v>0.172</v>
      </c>
      <c r="C41" s="5" t="s">
        <v>74</v>
      </c>
      <c r="D41" s="5" t="s">
        <v>79</v>
      </c>
      <c r="E41" s="6" t="n">
        <v>0.035245301808561</v>
      </c>
      <c r="F41" s="6" t="n">
        <v>0.000413027638846138</v>
      </c>
      <c r="G41" s="5" t="s">
        <v>796</v>
      </c>
    </row>
    <row r="42" customFormat="false" ht="15" hidden="false" customHeight="true" outlineLevel="0" collapsed="false">
      <c r="A42" s="5" t="n">
        <v>0.082</v>
      </c>
      <c r="B42" s="5" t="n">
        <v>0.172</v>
      </c>
      <c r="C42" s="5" t="s">
        <v>88</v>
      </c>
      <c r="D42" s="5" t="s">
        <v>79</v>
      </c>
      <c r="E42" s="6" t="n">
        <v>0.0479092649307965</v>
      </c>
      <c r="F42" s="6" t="n">
        <v>0.0013979899242324</v>
      </c>
      <c r="G42" s="5" t="s">
        <v>796</v>
      </c>
    </row>
    <row r="43" customFormat="false" ht="15" hidden="false" customHeight="true" outlineLevel="0" collapsed="false">
      <c r="A43" s="5" t="n">
        <v>0.082</v>
      </c>
      <c r="B43" s="5" t="n">
        <v>0.172</v>
      </c>
      <c r="C43" s="5" t="s">
        <v>74</v>
      </c>
      <c r="D43" s="5" t="s">
        <v>83</v>
      </c>
      <c r="E43" s="6" t="n">
        <v>0.0350732666792387</v>
      </c>
      <c r="F43" s="6" t="n">
        <v>0.00235110192244218</v>
      </c>
      <c r="G43" s="5" t="s">
        <v>796</v>
      </c>
    </row>
    <row r="44" customFormat="false" ht="15" hidden="false" customHeight="true" outlineLevel="0" collapsed="false">
      <c r="A44" s="5" t="n">
        <v>0.082</v>
      </c>
      <c r="B44" s="5" t="n">
        <v>0.172</v>
      </c>
      <c r="C44" s="5" t="s">
        <v>88</v>
      </c>
      <c r="D44" s="5" t="s">
        <v>83</v>
      </c>
      <c r="E44" s="6" t="n">
        <v>0.047543358521562</v>
      </c>
      <c r="F44" s="6" t="n">
        <v>0.00629647766718489</v>
      </c>
      <c r="G44" s="5" t="s">
        <v>796</v>
      </c>
    </row>
    <row r="45" customFormat="false" ht="15" hidden="false" customHeight="true" outlineLevel="0" collapsed="false">
      <c r="A45" s="5" t="n">
        <v>0.082</v>
      </c>
      <c r="B45" s="5" t="n">
        <v>0.172</v>
      </c>
      <c r="C45" s="5" t="s">
        <v>74</v>
      </c>
      <c r="D45" s="5" t="s">
        <v>86</v>
      </c>
      <c r="E45" s="6" t="n">
        <v>0.035245301808561</v>
      </c>
      <c r="F45" s="6" t="n">
        <v>0.00119636417765366</v>
      </c>
      <c r="G45" s="5" t="s">
        <v>796</v>
      </c>
    </row>
    <row r="46" customFormat="false" ht="15" hidden="false" customHeight="true" outlineLevel="0" collapsed="false">
      <c r="A46" s="5" t="n">
        <v>0.082</v>
      </c>
      <c r="B46" s="5" t="n">
        <v>0.172</v>
      </c>
      <c r="C46" s="5" t="s">
        <v>88</v>
      </c>
      <c r="D46" s="5" t="s">
        <v>86</v>
      </c>
      <c r="E46" s="6" t="n">
        <v>0.0476394393471552</v>
      </c>
      <c r="F46" s="6" t="n">
        <v>0.00268583470079214</v>
      </c>
      <c r="G46" s="5" t="s">
        <v>796</v>
      </c>
    </row>
    <row r="47" customFormat="false" ht="15" hidden="false" customHeight="true" outlineLevel="0" collapsed="false">
      <c r="A47" s="5" t="n">
        <v>0.092</v>
      </c>
      <c r="B47" s="5" t="n">
        <v>0.172</v>
      </c>
      <c r="C47" s="5" t="s">
        <v>74</v>
      </c>
      <c r="D47" s="5" t="s">
        <v>75</v>
      </c>
      <c r="E47" s="6" t="n">
        <v>0.0330561813007661</v>
      </c>
      <c r="F47" s="6" t="n">
        <v>0.00159149855988473</v>
      </c>
      <c r="G47" s="5" t="s">
        <v>796</v>
      </c>
    </row>
    <row r="48" customFormat="false" ht="15" hidden="false" customHeight="true" outlineLevel="0" collapsed="false">
      <c r="A48" s="5" t="n">
        <v>0.092</v>
      </c>
      <c r="B48" s="5" t="n">
        <v>0.172</v>
      </c>
      <c r="C48" s="5" t="s">
        <v>88</v>
      </c>
      <c r="D48" s="5" t="s">
        <v>75</v>
      </c>
      <c r="E48" s="6" t="n">
        <v>0.0458925200775182</v>
      </c>
      <c r="F48" s="6" t="n">
        <v>0.00504094168186832</v>
      </c>
      <c r="G48" s="5" t="s">
        <v>796</v>
      </c>
    </row>
    <row r="49" customFormat="false" ht="15" hidden="false" customHeight="true" outlineLevel="0" collapsed="false">
      <c r="A49" s="5" t="n">
        <v>0.092</v>
      </c>
      <c r="B49" s="5" t="n">
        <v>0.172</v>
      </c>
      <c r="C49" s="5" t="s">
        <v>74</v>
      </c>
      <c r="D49" s="5" t="s">
        <v>79</v>
      </c>
      <c r="E49" s="6" t="n">
        <v>0.0352508673691591</v>
      </c>
      <c r="F49" s="6" t="n">
        <v>0.000413027638846138</v>
      </c>
      <c r="G49" s="5" t="s">
        <v>796</v>
      </c>
    </row>
    <row r="50" customFormat="false" ht="15" hidden="false" customHeight="true" outlineLevel="0" collapsed="false">
      <c r="A50" s="5" t="n">
        <v>0.092</v>
      </c>
      <c r="B50" s="5" t="n">
        <v>0.172</v>
      </c>
      <c r="C50" s="5" t="s">
        <v>88</v>
      </c>
      <c r="D50" s="5" t="s">
        <v>79</v>
      </c>
      <c r="E50" s="6" t="n">
        <v>0.0479092649307965</v>
      </c>
      <c r="F50" s="6" t="n">
        <v>0.0013979899242324</v>
      </c>
      <c r="G50" s="5" t="s">
        <v>796</v>
      </c>
    </row>
    <row r="51" customFormat="false" ht="15" hidden="false" customHeight="true" outlineLevel="0" collapsed="false">
      <c r="A51" s="5" t="n">
        <v>0.092</v>
      </c>
      <c r="B51" s="5" t="n">
        <v>0.172</v>
      </c>
      <c r="C51" s="5" t="s">
        <v>74</v>
      </c>
      <c r="D51" s="5" t="s">
        <v>83</v>
      </c>
      <c r="E51" s="6" t="n">
        <v>0.0350788529625043</v>
      </c>
      <c r="F51" s="6" t="n">
        <v>0.00235110192244218</v>
      </c>
      <c r="G51" s="5" t="s">
        <v>796</v>
      </c>
    </row>
    <row r="52" customFormat="false" ht="15" hidden="false" customHeight="true" outlineLevel="0" collapsed="false">
      <c r="A52" s="5" t="n">
        <v>0.092</v>
      </c>
      <c r="B52" s="5" t="n">
        <v>0.172</v>
      </c>
      <c r="C52" s="5" t="s">
        <v>88</v>
      </c>
      <c r="D52" s="5" t="s">
        <v>83</v>
      </c>
      <c r="E52" s="6" t="n">
        <v>0.047543358521562</v>
      </c>
      <c r="F52" s="6" t="n">
        <v>0.00629647766718489</v>
      </c>
      <c r="G52" s="5" t="s">
        <v>796</v>
      </c>
    </row>
    <row r="53" customFormat="false" ht="15" hidden="false" customHeight="true" outlineLevel="0" collapsed="false">
      <c r="A53" s="5" t="n">
        <v>0.092</v>
      </c>
      <c r="B53" s="5" t="n">
        <v>0.172</v>
      </c>
      <c r="C53" s="5" t="s">
        <v>74</v>
      </c>
      <c r="D53" s="5" t="s">
        <v>86</v>
      </c>
      <c r="E53" s="6" t="n">
        <v>0.0352508673691591</v>
      </c>
      <c r="F53" s="6" t="n">
        <v>0.00119636417765366</v>
      </c>
      <c r="G53" s="5" t="s">
        <v>796</v>
      </c>
    </row>
    <row r="54" customFormat="false" ht="15" hidden="false" customHeight="true" outlineLevel="0" collapsed="false">
      <c r="A54" s="5" t="n">
        <v>0.092</v>
      </c>
      <c r="B54" s="5" t="n">
        <v>0.172</v>
      </c>
      <c r="C54" s="5" t="s">
        <v>88</v>
      </c>
      <c r="D54" s="5" t="s">
        <v>86</v>
      </c>
      <c r="E54" s="6" t="n">
        <v>0.0476394393471552</v>
      </c>
      <c r="F54" s="6" t="n">
        <v>0.00268583470079214</v>
      </c>
      <c r="G54" s="5" t="s">
        <v>796</v>
      </c>
    </row>
    <row r="55" customFormat="false" ht="15" hidden="false" customHeight="true" outlineLevel="0" collapsed="false">
      <c r="A55" s="5" t="n">
        <v>0.105</v>
      </c>
      <c r="B55" s="5" t="n">
        <v>0.172</v>
      </c>
      <c r="C55" s="5" t="s">
        <v>74</v>
      </c>
      <c r="D55" s="5" t="s">
        <v>75</v>
      </c>
      <c r="E55" s="6" t="n">
        <v>0.033062848682009</v>
      </c>
      <c r="F55" s="6" t="n">
        <v>0.00159149855988473</v>
      </c>
      <c r="G55" s="5" t="s">
        <v>796</v>
      </c>
    </row>
    <row r="56" customFormat="false" ht="15" hidden="false" customHeight="true" outlineLevel="0" collapsed="false">
      <c r="A56" s="5" t="n">
        <v>0.105</v>
      </c>
      <c r="B56" s="5" t="n">
        <v>0.172</v>
      </c>
      <c r="C56" s="5" t="s">
        <v>88</v>
      </c>
      <c r="D56" s="5" t="s">
        <v>75</v>
      </c>
      <c r="E56" s="6" t="n">
        <v>0.0458925200775182</v>
      </c>
      <c r="F56" s="6" t="n">
        <v>0.00504094168186832</v>
      </c>
      <c r="G56" s="5" t="s">
        <v>796</v>
      </c>
    </row>
    <row r="57" customFormat="false" ht="15" hidden="false" customHeight="true" outlineLevel="0" collapsed="false">
      <c r="A57" s="5" t="n">
        <v>0.105</v>
      </c>
      <c r="B57" s="5" t="n">
        <v>0.172</v>
      </c>
      <c r="C57" s="5" t="s">
        <v>74</v>
      </c>
      <c r="D57" s="5" t="s">
        <v>79</v>
      </c>
      <c r="E57" s="6" t="n">
        <v>0.0352580540646667</v>
      </c>
      <c r="F57" s="6" t="n">
        <v>0.000413027638846138</v>
      </c>
      <c r="G57" s="5" t="s">
        <v>796</v>
      </c>
    </row>
    <row r="58" customFormat="false" ht="15" hidden="false" customHeight="true" outlineLevel="0" collapsed="false">
      <c r="A58" s="5" t="n">
        <v>0.105</v>
      </c>
      <c r="B58" s="5" t="n">
        <v>0.172</v>
      </c>
      <c r="C58" s="5" t="s">
        <v>88</v>
      </c>
      <c r="D58" s="5" t="s">
        <v>79</v>
      </c>
      <c r="E58" s="6" t="n">
        <v>0.0479092649307965</v>
      </c>
      <c r="F58" s="6" t="n">
        <v>0.0013979899242324</v>
      </c>
      <c r="G58" s="5" t="s">
        <v>796</v>
      </c>
    </row>
    <row r="59" customFormat="false" ht="15" hidden="false" customHeight="true" outlineLevel="0" collapsed="false">
      <c r="A59" s="5" t="n">
        <v>0.105</v>
      </c>
      <c r="B59" s="5" t="n">
        <v>0.172</v>
      </c>
      <c r="C59" s="5" t="s">
        <v>74</v>
      </c>
      <c r="D59" s="5" t="s">
        <v>83</v>
      </c>
      <c r="E59" s="6" t="n">
        <v>0.0350860666262923</v>
      </c>
      <c r="F59" s="6" t="n">
        <v>0.00235110192244218</v>
      </c>
      <c r="G59" s="5" t="s">
        <v>796</v>
      </c>
    </row>
    <row r="60" customFormat="false" ht="15" hidden="false" customHeight="true" outlineLevel="0" collapsed="false">
      <c r="A60" s="5" t="n">
        <v>0.105</v>
      </c>
      <c r="B60" s="5" t="n">
        <v>0.172</v>
      </c>
      <c r="C60" s="5" t="s">
        <v>88</v>
      </c>
      <c r="D60" s="5" t="s">
        <v>83</v>
      </c>
      <c r="E60" s="6" t="n">
        <v>0.047543358521562</v>
      </c>
      <c r="F60" s="6" t="n">
        <v>0.00629647766718489</v>
      </c>
      <c r="G60" s="5" t="s">
        <v>796</v>
      </c>
    </row>
    <row r="61" customFormat="false" ht="15" hidden="false" customHeight="true" outlineLevel="0" collapsed="false">
      <c r="A61" s="5" t="n">
        <v>0.105</v>
      </c>
      <c r="B61" s="5" t="n">
        <v>0.172</v>
      </c>
      <c r="C61" s="5" t="s">
        <v>74</v>
      </c>
      <c r="D61" s="5" t="s">
        <v>86</v>
      </c>
      <c r="E61" s="6" t="n">
        <v>0.0352580540646667</v>
      </c>
      <c r="F61" s="6" t="n">
        <v>0.00119636417765366</v>
      </c>
      <c r="G61" s="5" t="s">
        <v>796</v>
      </c>
    </row>
    <row r="62" customFormat="false" ht="15" hidden="false" customHeight="true" outlineLevel="0" collapsed="false">
      <c r="A62" s="5" t="n">
        <v>0.105</v>
      </c>
      <c r="B62" s="5" t="n">
        <v>0.172</v>
      </c>
      <c r="C62" s="5" t="s">
        <v>88</v>
      </c>
      <c r="D62" s="5" t="s">
        <v>86</v>
      </c>
      <c r="E62" s="6" t="n">
        <v>0.0476394393471552</v>
      </c>
      <c r="F62" s="6" t="n">
        <v>0.00268583470079214</v>
      </c>
      <c r="G62" s="5" t="s">
        <v>796</v>
      </c>
    </row>
    <row r="63" customFormat="false" ht="15" hidden="false" customHeight="true" outlineLevel="0" collapsed="false">
      <c r="A63" s="5" t="n">
        <v>0.082</v>
      </c>
      <c r="B63" s="5" t="n">
        <v>0.25</v>
      </c>
      <c r="C63" s="5" t="s">
        <v>74</v>
      </c>
      <c r="D63" s="5" t="s">
        <v>75</v>
      </c>
      <c r="E63" s="6" t="n">
        <v>0.0330510157233503</v>
      </c>
      <c r="F63" s="6" t="n">
        <v>0.00159046455032264</v>
      </c>
      <c r="G63" s="5" t="s">
        <v>796</v>
      </c>
    </row>
    <row r="64" customFormat="false" ht="15" hidden="false" customHeight="true" outlineLevel="0" collapsed="false">
      <c r="A64" s="5" t="n">
        <v>0.082</v>
      </c>
      <c r="B64" s="5" t="n">
        <v>0.25</v>
      </c>
      <c r="C64" s="5" t="s">
        <v>88</v>
      </c>
      <c r="D64" s="5" t="s">
        <v>75</v>
      </c>
      <c r="E64" s="6" t="n">
        <v>0.0458925200775182</v>
      </c>
      <c r="F64" s="6" t="n">
        <v>0.00504026759865852</v>
      </c>
      <c r="G64" s="5" t="s">
        <v>796</v>
      </c>
    </row>
    <row r="65" customFormat="false" ht="15" hidden="false" customHeight="true" outlineLevel="0" collapsed="false">
      <c r="A65" s="5" t="n">
        <v>0.082</v>
      </c>
      <c r="B65" s="5" t="n">
        <v>0.25</v>
      </c>
      <c r="C65" s="5" t="s">
        <v>74</v>
      </c>
      <c r="D65" s="5" t="s">
        <v>79</v>
      </c>
      <c r="E65" s="6" t="n">
        <v>0.035245301808561</v>
      </c>
      <c r="F65" s="6" t="n">
        <v>0.000413027638846138</v>
      </c>
      <c r="G65" s="5" t="s">
        <v>796</v>
      </c>
    </row>
    <row r="66" customFormat="false" ht="15" hidden="false" customHeight="true" outlineLevel="0" collapsed="false">
      <c r="A66" s="5" t="n">
        <v>0.082</v>
      </c>
      <c r="B66" s="5" t="n">
        <v>0.25</v>
      </c>
      <c r="C66" s="5" t="s">
        <v>88</v>
      </c>
      <c r="D66" s="5" t="s">
        <v>79</v>
      </c>
      <c r="E66" s="6" t="n">
        <v>0.0479092649307965</v>
      </c>
      <c r="F66" s="6" t="n">
        <v>0.0013979899242324</v>
      </c>
      <c r="G66" s="5" t="s">
        <v>796</v>
      </c>
    </row>
    <row r="67" customFormat="false" ht="15" hidden="false" customHeight="true" outlineLevel="0" collapsed="false">
      <c r="A67" s="5" t="n">
        <v>0.082</v>
      </c>
      <c r="B67" s="5" t="n">
        <v>0.25</v>
      </c>
      <c r="C67" s="5" t="s">
        <v>74</v>
      </c>
      <c r="D67" s="5" t="s">
        <v>83</v>
      </c>
      <c r="E67" s="6" t="n">
        <v>0.0350732666792387</v>
      </c>
      <c r="F67" s="6" t="n">
        <v>0.00235059953810316</v>
      </c>
      <c r="G67" s="5" t="s">
        <v>796</v>
      </c>
    </row>
    <row r="68" customFormat="false" ht="15" hidden="false" customHeight="true" outlineLevel="0" collapsed="false">
      <c r="A68" s="5" t="n">
        <v>0.082</v>
      </c>
      <c r="B68" s="5" t="n">
        <v>0.25</v>
      </c>
      <c r="C68" s="5" t="s">
        <v>88</v>
      </c>
      <c r="D68" s="5" t="s">
        <v>83</v>
      </c>
      <c r="E68" s="6" t="n">
        <v>0.047543358521562</v>
      </c>
      <c r="F68" s="6" t="n">
        <v>0.00629758426846889</v>
      </c>
      <c r="G68" s="5" t="s">
        <v>796</v>
      </c>
    </row>
    <row r="69" customFormat="false" ht="15" hidden="false" customHeight="true" outlineLevel="0" collapsed="false">
      <c r="A69" s="5" t="n">
        <v>0.082</v>
      </c>
      <c r="B69" s="5" t="n">
        <v>0.25</v>
      </c>
      <c r="C69" s="5" t="s">
        <v>74</v>
      </c>
      <c r="D69" s="5" t="s">
        <v>86</v>
      </c>
      <c r="E69" s="6" t="n">
        <v>0.035245301808561</v>
      </c>
      <c r="F69" s="6" t="n">
        <v>0.00119605653114125</v>
      </c>
      <c r="G69" s="5" t="s">
        <v>796</v>
      </c>
    </row>
    <row r="70" customFormat="false" ht="15" hidden="false" customHeight="true" outlineLevel="0" collapsed="false">
      <c r="A70" s="5" t="n">
        <v>0.082</v>
      </c>
      <c r="B70" s="5" t="n">
        <v>0.25</v>
      </c>
      <c r="C70" s="5" t="s">
        <v>88</v>
      </c>
      <c r="D70" s="5" t="s">
        <v>86</v>
      </c>
      <c r="E70" s="6" t="n">
        <v>0.0476394393471552</v>
      </c>
      <c r="F70" s="6" t="n">
        <v>0.00268555313952578</v>
      </c>
      <c r="G70" s="5" t="s">
        <v>796</v>
      </c>
    </row>
    <row r="71" customFormat="false" ht="15" hidden="false" customHeight="true" outlineLevel="0" collapsed="false">
      <c r="A71" s="5" t="n">
        <v>0.092</v>
      </c>
      <c r="B71" s="5" t="n">
        <v>0.25</v>
      </c>
      <c r="C71" s="5" t="s">
        <v>74</v>
      </c>
      <c r="D71" s="5" t="s">
        <v>75</v>
      </c>
      <c r="E71" s="6" t="n">
        <v>0.0330561813007661</v>
      </c>
      <c r="F71" s="6" t="n">
        <v>0.00159046455032264</v>
      </c>
      <c r="G71" s="5" t="s">
        <v>796</v>
      </c>
    </row>
    <row r="72" customFormat="false" ht="15" hidden="false" customHeight="true" outlineLevel="0" collapsed="false">
      <c r="A72" s="5" t="n">
        <v>0.092</v>
      </c>
      <c r="B72" s="5" t="n">
        <v>0.25</v>
      </c>
      <c r="C72" s="5" t="s">
        <v>88</v>
      </c>
      <c r="D72" s="5" t="s">
        <v>75</v>
      </c>
      <c r="E72" s="6" t="n">
        <v>0.0458925200775182</v>
      </c>
      <c r="F72" s="6" t="n">
        <v>0.00504026759865852</v>
      </c>
      <c r="G72" s="5" t="s">
        <v>796</v>
      </c>
    </row>
    <row r="73" customFormat="false" ht="15" hidden="false" customHeight="true" outlineLevel="0" collapsed="false">
      <c r="A73" s="5" t="n">
        <v>0.092</v>
      </c>
      <c r="B73" s="5" t="n">
        <v>0.25</v>
      </c>
      <c r="C73" s="5" t="s">
        <v>74</v>
      </c>
      <c r="D73" s="5" t="s">
        <v>79</v>
      </c>
      <c r="E73" s="6" t="n">
        <v>0.0352508673691591</v>
      </c>
      <c r="F73" s="6" t="n">
        <v>0.000413027638846138</v>
      </c>
      <c r="G73" s="5" t="s">
        <v>796</v>
      </c>
    </row>
    <row r="74" customFormat="false" ht="15" hidden="false" customHeight="true" outlineLevel="0" collapsed="false">
      <c r="A74" s="5" t="n">
        <v>0.092</v>
      </c>
      <c r="B74" s="5" t="n">
        <v>0.25</v>
      </c>
      <c r="C74" s="5" t="s">
        <v>88</v>
      </c>
      <c r="D74" s="5" t="s">
        <v>79</v>
      </c>
      <c r="E74" s="6" t="n">
        <v>0.0479092649307965</v>
      </c>
      <c r="F74" s="6" t="n">
        <v>0.0013979899242324</v>
      </c>
      <c r="G74" s="5" t="s">
        <v>796</v>
      </c>
    </row>
    <row r="75" customFormat="false" ht="15" hidden="false" customHeight="true" outlineLevel="0" collapsed="false">
      <c r="A75" s="5" t="n">
        <v>0.092</v>
      </c>
      <c r="B75" s="5" t="n">
        <v>0.25</v>
      </c>
      <c r="C75" s="5" t="s">
        <v>74</v>
      </c>
      <c r="D75" s="5" t="s">
        <v>83</v>
      </c>
      <c r="E75" s="6" t="n">
        <v>0.0350788529625043</v>
      </c>
      <c r="F75" s="6" t="n">
        <v>0.00235059953810316</v>
      </c>
      <c r="G75" s="5" t="s">
        <v>796</v>
      </c>
    </row>
    <row r="76" customFormat="false" ht="15" hidden="false" customHeight="true" outlineLevel="0" collapsed="false">
      <c r="A76" s="5" t="n">
        <v>0.092</v>
      </c>
      <c r="B76" s="5" t="n">
        <v>0.25</v>
      </c>
      <c r="C76" s="5" t="s">
        <v>88</v>
      </c>
      <c r="D76" s="5" t="s">
        <v>83</v>
      </c>
      <c r="E76" s="6" t="n">
        <v>0.047543358521562</v>
      </c>
      <c r="F76" s="6" t="n">
        <v>0.00629758426846889</v>
      </c>
      <c r="G76" s="5" t="s">
        <v>796</v>
      </c>
    </row>
    <row r="77" customFormat="false" ht="15" hidden="false" customHeight="true" outlineLevel="0" collapsed="false">
      <c r="A77" s="5" t="n">
        <v>0.092</v>
      </c>
      <c r="B77" s="5" t="n">
        <v>0.25</v>
      </c>
      <c r="C77" s="5" t="s">
        <v>74</v>
      </c>
      <c r="D77" s="5" t="s">
        <v>86</v>
      </c>
      <c r="E77" s="6" t="n">
        <v>0.0352508673691591</v>
      </c>
      <c r="F77" s="6" t="n">
        <v>0.00119605653114125</v>
      </c>
      <c r="G77" s="5" t="s">
        <v>796</v>
      </c>
    </row>
    <row r="78" customFormat="false" ht="15" hidden="false" customHeight="true" outlineLevel="0" collapsed="false">
      <c r="A78" s="5" t="n">
        <v>0.092</v>
      </c>
      <c r="B78" s="5" t="n">
        <v>0.25</v>
      </c>
      <c r="C78" s="5" t="s">
        <v>88</v>
      </c>
      <c r="D78" s="5" t="s">
        <v>86</v>
      </c>
      <c r="E78" s="6" t="n">
        <v>0.0476394393471552</v>
      </c>
      <c r="F78" s="6" t="n">
        <v>0.00268555313952578</v>
      </c>
      <c r="G78" s="5" t="s">
        <v>796</v>
      </c>
    </row>
    <row r="79" customFormat="false" ht="15" hidden="false" customHeight="true" outlineLevel="0" collapsed="false">
      <c r="A79" s="5" t="n">
        <v>0.105</v>
      </c>
      <c r="B79" s="5" t="n">
        <v>0.25</v>
      </c>
      <c r="C79" s="5" t="s">
        <v>74</v>
      </c>
      <c r="D79" s="5" t="s">
        <v>75</v>
      </c>
      <c r="E79" s="6" t="n">
        <v>0.033062848682009</v>
      </c>
      <c r="F79" s="6" t="n">
        <v>0.00159046455032264</v>
      </c>
      <c r="G79" s="5" t="s">
        <v>796</v>
      </c>
    </row>
    <row r="80" customFormat="false" ht="15" hidden="false" customHeight="true" outlineLevel="0" collapsed="false">
      <c r="A80" s="5" t="n">
        <v>0.105</v>
      </c>
      <c r="B80" s="5" t="n">
        <v>0.25</v>
      </c>
      <c r="C80" s="5" t="s">
        <v>88</v>
      </c>
      <c r="D80" s="5" t="s">
        <v>75</v>
      </c>
      <c r="E80" s="6" t="n">
        <v>0.0458925200775182</v>
      </c>
      <c r="F80" s="6" t="n">
        <v>0.00504026759865852</v>
      </c>
      <c r="G80" s="5" t="s">
        <v>796</v>
      </c>
    </row>
    <row r="81" customFormat="false" ht="15" hidden="false" customHeight="true" outlineLevel="0" collapsed="false">
      <c r="A81" s="5" t="n">
        <v>0.105</v>
      </c>
      <c r="B81" s="5" t="n">
        <v>0.25</v>
      </c>
      <c r="C81" s="5" t="s">
        <v>74</v>
      </c>
      <c r="D81" s="5" t="s">
        <v>79</v>
      </c>
      <c r="E81" s="6" t="n">
        <v>0.0352580540646667</v>
      </c>
      <c r="F81" s="6" t="n">
        <v>0.000413027638846138</v>
      </c>
      <c r="G81" s="5" t="s">
        <v>796</v>
      </c>
    </row>
    <row r="82" customFormat="false" ht="15" hidden="false" customHeight="true" outlineLevel="0" collapsed="false">
      <c r="A82" s="5" t="n">
        <v>0.105</v>
      </c>
      <c r="B82" s="5" t="n">
        <v>0.25</v>
      </c>
      <c r="C82" s="5" t="s">
        <v>88</v>
      </c>
      <c r="D82" s="5" t="s">
        <v>79</v>
      </c>
      <c r="E82" s="6" t="n">
        <v>0.0479092649307965</v>
      </c>
      <c r="F82" s="6" t="n">
        <v>0.0013979899242324</v>
      </c>
      <c r="G82" s="5" t="s">
        <v>796</v>
      </c>
    </row>
    <row r="83" customFormat="false" ht="15" hidden="false" customHeight="true" outlineLevel="0" collapsed="false">
      <c r="A83" s="5" t="n">
        <v>0.105</v>
      </c>
      <c r="B83" s="5" t="n">
        <v>0.25</v>
      </c>
      <c r="C83" s="5" t="s">
        <v>74</v>
      </c>
      <c r="D83" s="5" t="s">
        <v>83</v>
      </c>
      <c r="E83" s="6" t="n">
        <v>0.0350860666262923</v>
      </c>
      <c r="F83" s="6" t="n">
        <v>0.00235059953810316</v>
      </c>
      <c r="G83" s="5" t="s">
        <v>796</v>
      </c>
    </row>
    <row r="84" customFormat="false" ht="15" hidden="false" customHeight="true" outlineLevel="0" collapsed="false">
      <c r="A84" s="5" t="n">
        <v>0.105</v>
      </c>
      <c r="B84" s="5" t="n">
        <v>0.25</v>
      </c>
      <c r="C84" s="5" t="s">
        <v>88</v>
      </c>
      <c r="D84" s="5" t="s">
        <v>83</v>
      </c>
      <c r="E84" s="6" t="n">
        <v>0.047543358521562</v>
      </c>
      <c r="F84" s="6" t="n">
        <v>0.00629758426846889</v>
      </c>
      <c r="G84" s="5" t="s">
        <v>796</v>
      </c>
    </row>
    <row r="85" customFormat="false" ht="15" hidden="false" customHeight="true" outlineLevel="0" collapsed="false">
      <c r="A85" s="5" t="n">
        <v>0.105</v>
      </c>
      <c r="B85" s="5" t="n">
        <v>0.25</v>
      </c>
      <c r="C85" s="5" t="s">
        <v>74</v>
      </c>
      <c r="D85" s="5" t="s">
        <v>86</v>
      </c>
      <c r="E85" s="6" t="n">
        <v>0.0352580540646667</v>
      </c>
      <c r="F85" s="6" t="n">
        <v>0.00119605653114125</v>
      </c>
      <c r="G85" s="5" t="s">
        <v>796</v>
      </c>
    </row>
    <row r="86" customFormat="false" ht="15" hidden="false" customHeight="true" outlineLevel="0" collapsed="false">
      <c r="A86" s="5" t="n">
        <v>0.105</v>
      </c>
      <c r="B86" s="5" t="n">
        <v>0.25</v>
      </c>
      <c r="C86" s="5" t="s">
        <v>88</v>
      </c>
      <c r="D86" s="5" t="s">
        <v>86</v>
      </c>
      <c r="E86" s="6" t="n">
        <v>0.0476394393471552</v>
      </c>
      <c r="F86" s="6" t="n">
        <v>0.00268555313952578</v>
      </c>
      <c r="G86" s="5" t="s">
        <v>796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52"/>
    <col collapsed="false" customWidth="true" hidden="false" outlineLevel="0" max="2" min="2" style="1" width="26"/>
    <col collapsed="false" customWidth="true" hidden="false" outlineLevel="0" max="6" min="3" style="1" width="10"/>
    <col collapsed="false" customWidth="true" hidden="false" outlineLevel="0" max="7" min="7" style="1" width="11"/>
    <col collapsed="false" customWidth="true" hidden="false" outlineLevel="0" max="8" min="8" style="1" width="14"/>
  </cols>
  <sheetData>
    <row r="1" customFormat="false" ht="31.5" hidden="false" customHeight="true" outlineLevel="0" collapsed="false">
      <c r="A1" s="4" t="s">
        <v>802</v>
      </c>
      <c r="B1" s="4" t="s">
        <v>94</v>
      </c>
      <c r="C1" s="4" t="s">
        <v>803</v>
      </c>
      <c r="D1" s="4" t="s">
        <v>804</v>
      </c>
      <c r="E1" s="4" t="s">
        <v>805</v>
      </c>
      <c r="F1" s="4" t="s">
        <v>96</v>
      </c>
      <c r="G1" s="4" t="s">
        <v>97</v>
      </c>
      <c r="H1" s="4" t="s">
        <v>61</v>
      </c>
    </row>
    <row r="2" customFormat="false" ht="15" hidden="false" customHeight="true" outlineLevel="0" collapsed="false">
      <c r="A2" s="5" t="s">
        <v>806</v>
      </c>
      <c r="B2" s="5" t="s">
        <v>100</v>
      </c>
      <c r="C2" s="5" t="n">
        <v>106</v>
      </c>
      <c r="D2" s="5" t="n">
        <v>118</v>
      </c>
      <c r="E2" s="6" t="n">
        <v>0.823</v>
      </c>
      <c r="F2" s="6" t="n">
        <v>0.044</v>
      </c>
      <c r="G2" s="7" t="n">
        <v>5.86E-078</v>
      </c>
      <c r="H2" s="7" t="n">
        <v>1.36E-132</v>
      </c>
    </row>
    <row r="3" customFormat="false" ht="15" hidden="false" customHeight="true" outlineLevel="0" collapsed="false">
      <c r="A3" s="5" t="s">
        <v>806</v>
      </c>
      <c r="B3" s="5" t="s">
        <v>108</v>
      </c>
      <c r="C3" s="5" t="n">
        <v>106</v>
      </c>
      <c r="D3" s="5" t="n">
        <v>118</v>
      </c>
      <c r="E3" s="6" t="n">
        <v>1.443</v>
      </c>
      <c r="F3" s="6" t="n">
        <v>0.0975</v>
      </c>
      <c r="G3" s="7" t="n">
        <v>2.42E-027</v>
      </c>
      <c r="H3" s="7" t="n">
        <v>1.36E-132</v>
      </c>
    </row>
    <row r="4" customFormat="false" ht="15" hidden="false" customHeight="true" outlineLevel="0" collapsed="false">
      <c r="A4" s="5" t="s">
        <v>806</v>
      </c>
      <c r="B4" s="5" t="s">
        <v>112</v>
      </c>
      <c r="C4" s="5" t="n">
        <v>106</v>
      </c>
      <c r="D4" s="5" t="n">
        <v>118</v>
      </c>
      <c r="E4" s="6" t="n">
        <v>0.769</v>
      </c>
      <c r="F4" s="6" t="n">
        <v>0.0425</v>
      </c>
      <c r="G4" s="7" t="n">
        <v>3E-073</v>
      </c>
      <c r="H4" s="7" t="n">
        <v>1.36E-132</v>
      </c>
    </row>
    <row r="5" customFormat="false" ht="15" hidden="false" customHeight="true" outlineLevel="0" collapsed="false">
      <c r="A5" s="5" t="s">
        <v>807</v>
      </c>
      <c r="B5" s="5" t="s">
        <v>100</v>
      </c>
      <c r="C5" s="5" t="n">
        <v>108</v>
      </c>
      <c r="D5" s="5" t="n">
        <v>118</v>
      </c>
      <c r="E5" s="6" t="n">
        <v>0.837</v>
      </c>
      <c r="F5" s="6" t="n">
        <v>0.0452</v>
      </c>
      <c r="G5" s="7" t="n">
        <v>1.79E-076</v>
      </c>
      <c r="H5" s="7" t="n">
        <v>2.22E-258</v>
      </c>
    </row>
    <row r="6" customFormat="false" ht="15" hidden="false" customHeight="true" outlineLevel="0" collapsed="false">
      <c r="A6" s="5" t="s">
        <v>807</v>
      </c>
      <c r="B6" s="5" t="s">
        <v>108</v>
      </c>
      <c r="C6" s="5" t="n">
        <v>108</v>
      </c>
      <c r="D6" s="5" t="n">
        <v>118</v>
      </c>
      <c r="E6" s="6" t="n">
        <v>1.431</v>
      </c>
      <c r="F6" s="6" t="n">
        <v>0.1049</v>
      </c>
      <c r="G6" s="7" t="n">
        <v>4.47E-025</v>
      </c>
      <c r="H6" s="7" t="n">
        <v>2.22E-258</v>
      </c>
    </row>
    <row r="7" customFormat="false" ht="15" hidden="false" customHeight="true" outlineLevel="0" collapsed="false">
      <c r="A7" s="5" t="s">
        <v>807</v>
      </c>
      <c r="B7" s="5" t="s">
        <v>112</v>
      </c>
      <c r="C7" s="5" t="n">
        <v>108</v>
      </c>
      <c r="D7" s="5" t="n">
        <v>118</v>
      </c>
      <c r="E7" s="6" t="n">
        <v>0.753</v>
      </c>
      <c r="F7" s="6" t="n">
        <v>0.0364</v>
      </c>
      <c r="G7" s="7" t="n">
        <v>2.03E-095</v>
      </c>
      <c r="H7" s="7" t="n">
        <v>2.22E-258</v>
      </c>
    </row>
    <row r="8" customFormat="false" ht="15" hidden="false" customHeight="true" outlineLevel="0" collapsed="false">
      <c r="A8" s="5" t="s">
        <v>808</v>
      </c>
      <c r="B8" s="5" t="s">
        <v>100</v>
      </c>
      <c r="C8" s="5" t="n">
        <v>451</v>
      </c>
      <c r="D8" s="5" t="n">
        <v>501</v>
      </c>
      <c r="E8" s="6" t="n">
        <v>0.591</v>
      </c>
      <c r="F8" s="6" t="n">
        <v>0.0213</v>
      </c>
      <c r="G8" s="7" t="n">
        <v>1.73E-169</v>
      </c>
      <c r="H8" s="7" t="n">
        <v>1.07E-093</v>
      </c>
    </row>
    <row r="9" customFormat="false" ht="15" hidden="false" customHeight="true" outlineLevel="0" collapsed="false">
      <c r="A9" s="5" t="s">
        <v>808</v>
      </c>
      <c r="B9" s="5" t="s">
        <v>108</v>
      </c>
      <c r="C9" s="5" t="n">
        <v>451</v>
      </c>
      <c r="D9" s="5" t="n">
        <v>501</v>
      </c>
      <c r="E9" s="6" t="n">
        <v>0.788</v>
      </c>
      <c r="F9" s="6" t="n">
        <v>0.0531</v>
      </c>
      <c r="G9" s="7" t="n">
        <v>7.32E-041</v>
      </c>
      <c r="H9" s="7" t="n">
        <v>1.07E-093</v>
      </c>
    </row>
    <row r="10" customFormat="false" ht="15" hidden="false" customHeight="true" outlineLevel="0" collapsed="false">
      <c r="A10" s="5" t="s">
        <v>808</v>
      </c>
      <c r="B10" s="5" t="s">
        <v>112</v>
      </c>
      <c r="C10" s="5" t="n">
        <v>451</v>
      </c>
      <c r="D10" s="5" t="n">
        <v>501</v>
      </c>
      <c r="E10" s="6" t="n">
        <v>0.589</v>
      </c>
      <c r="F10" s="6" t="n">
        <v>0.0246</v>
      </c>
      <c r="G10" s="7" t="n">
        <v>1.33E-126</v>
      </c>
      <c r="H10" s="7" t="n">
        <v>1.07E-093</v>
      </c>
    </row>
    <row r="12" customFormat="false" ht="15" hidden="false" customHeight="true" outlineLevel="0" collapsed="false">
      <c r="A12" s="8" t="s">
        <v>809</v>
      </c>
    </row>
    <row r="13" customFormat="false" ht="15" hidden="false" customHeight="true" outlineLevel="0" collapsed="false">
      <c r="A13" s="8" t="s">
        <v>810</v>
      </c>
    </row>
    <row r="14" customFormat="false" ht="15" hidden="false" customHeight="true" outlineLevel="0" collapsed="false">
      <c r="A14" s="8" t="s">
        <v>811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7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8"/>
    <col collapsed="false" customWidth="true" hidden="false" outlineLevel="0" max="2" min="2" style="1" width="34"/>
    <col collapsed="false" customWidth="true" hidden="false" outlineLevel="0" max="3" min="3" style="1" width="12"/>
    <col collapsed="false" customWidth="true" hidden="false" outlineLevel="0" max="4" min="4" style="1" width="10"/>
    <col collapsed="false" customWidth="true" hidden="false" outlineLevel="0" max="5" min="5" style="1" width="12"/>
    <col collapsed="false" customWidth="true" hidden="false" outlineLevel="0" max="6" min="6" style="1" width="10"/>
    <col collapsed="false" customWidth="true" hidden="false" outlineLevel="0" max="7" min="7" style="1" width="11"/>
    <col collapsed="false" customWidth="true" hidden="false" outlineLevel="0" max="8" min="8" style="1" width="10"/>
    <col collapsed="false" customWidth="true" hidden="false" outlineLevel="0" max="9" min="9" style="1" width="8"/>
    <col collapsed="false" customWidth="true" hidden="false" outlineLevel="0" max="10" min="10" style="1" width="10"/>
    <col collapsed="false" customWidth="true" hidden="false" outlineLevel="0" max="11" min="11" style="1" width="8"/>
    <col collapsed="false" customWidth="true" hidden="false" outlineLevel="0" max="12" min="12" style="1" width="11"/>
    <col collapsed="false" customWidth="true" hidden="false" outlineLevel="0" max="13" min="13" style="1" width="10"/>
    <col collapsed="false" customWidth="true" hidden="false" outlineLevel="0" max="14" min="14" style="1" width="12"/>
    <col collapsed="false" customWidth="true" hidden="false" outlineLevel="0" max="15" min="15" style="1" width="11"/>
    <col collapsed="false" customWidth="true" hidden="false" outlineLevel="0" max="16" min="16" style="1" width="12"/>
    <col collapsed="false" customWidth="true" hidden="false" outlineLevel="0" max="17" min="17" style="1" width="10"/>
    <col collapsed="false" customWidth="true" hidden="false" outlineLevel="0" max="18" min="18" style="1" width="8"/>
    <col collapsed="false" customWidth="true" hidden="false" outlineLevel="0" max="19" min="19" style="1" width="11"/>
  </cols>
  <sheetData>
    <row r="1" customFormat="false" ht="15" hidden="false" customHeight="true" outlineLevel="0" collapsed="false">
      <c r="A1" s="2" t="s">
        <v>812</v>
      </c>
    </row>
    <row r="2" customFormat="false" ht="31.5" hidden="false" customHeight="true" outlineLevel="0" collapsed="false">
      <c r="A2" s="4" t="s">
        <v>46</v>
      </c>
      <c r="B2" s="4" t="s">
        <v>813</v>
      </c>
      <c r="C2" s="4" t="s">
        <v>814</v>
      </c>
      <c r="D2" s="4" t="s">
        <v>96</v>
      </c>
      <c r="E2" s="4" t="s">
        <v>815</v>
      </c>
      <c r="F2" s="4" t="s">
        <v>96</v>
      </c>
      <c r="G2" s="4" t="s">
        <v>816</v>
      </c>
      <c r="H2" s="4" t="s">
        <v>817</v>
      </c>
      <c r="I2" s="4" t="s">
        <v>818</v>
      </c>
      <c r="J2" s="4" t="s">
        <v>97</v>
      </c>
      <c r="K2" s="4" t="s">
        <v>819</v>
      </c>
      <c r="L2" s="4" t="s">
        <v>820</v>
      </c>
      <c r="M2" s="4" t="s">
        <v>821</v>
      </c>
      <c r="N2" s="4" t="s">
        <v>822</v>
      </c>
      <c r="O2" s="4" t="s">
        <v>823</v>
      </c>
      <c r="P2" s="4" t="s">
        <v>824</v>
      </c>
      <c r="Q2" s="4" t="s">
        <v>96</v>
      </c>
      <c r="R2" s="4" t="s">
        <v>818</v>
      </c>
      <c r="S2" s="4" t="s">
        <v>825</v>
      </c>
    </row>
    <row r="3" customFormat="false" ht="15" hidden="false" customHeight="true" outlineLevel="0" collapsed="false">
      <c r="A3" s="5" t="s">
        <v>74</v>
      </c>
      <c r="B3" s="5" t="s">
        <v>83</v>
      </c>
      <c r="C3" s="6" t="n">
        <v>0.133494228135727</v>
      </c>
      <c r="D3" s="6" t="n">
        <v>0.0212232262556976</v>
      </c>
      <c r="E3" s="6" t="n">
        <v>0.085784575297348</v>
      </c>
      <c r="F3" s="6" t="n">
        <v>0.0231662292997347</v>
      </c>
      <c r="G3" s="6" t="n">
        <f aca="false">C3-E3</f>
        <v>0.047709652838379</v>
      </c>
      <c r="H3" s="6" t="n">
        <f aca="false">SQRT(D3^2+F3^2)</f>
        <v>0.0314181398664596</v>
      </c>
      <c r="I3" s="11" t="n">
        <f aca="false">G3/H3</f>
        <v>1.51853843165653</v>
      </c>
      <c r="J3" s="12" t="n">
        <f aca="false">2*(1-NORMSDIST(ABS(I3)))</f>
        <v>0.128878718751906</v>
      </c>
      <c r="K3" s="10" t="n">
        <v>56.6340939411378</v>
      </c>
      <c r="L3" s="13" t="n">
        <v>0.823</v>
      </c>
      <c r="M3" s="13" t="n">
        <v>0.044</v>
      </c>
      <c r="N3" s="6" t="n">
        <f aca="false">C3/L3</f>
        <v>0.162204408427372</v>
      </c>
      <c r="O3" s="6" t="n">
        <f aca="false">N3*SQRT((D3/C3)^2+(M3/L3)^2)</f>
        <v>0.0272067006783363</v>
      </c>
      <c r="P3" s="6" t="n">
        <f aca="false">N3-E3</f>
        <v>0.0764198331300238</v>
      </c>
      <c r="Q3" s="6" t="n">
        <f aca="false">SQRT(O3^2+F3^2)</f>
        <v>0.0357334401054317</v>
      </c>
      <c r="R3" s="11" t="n">
        <f aca="false">P3/Q3</f>
        <v>2.13860834290084</v>
      </c>
      <c r="S3" s="12" t="n">
        <f aca="false">2*(1-NORMSDIST(ABS(R3)))</f>
        <v>0.0324674012643389</v>
      </c>
    </row>
    <row r="4" customFormat="false" ht="15" hidden="false" customHeight="true" outlineLevel="0" collapsed="false">
      <c r="A4" s="5" t="s">
        <v>74</v>
      </c>
      <c r="B4" s="5" t="s">
        <v>86</v>
      </c>
      <c r="C4" s="6" t="n">
        <v>0.133494228135727</v>
      </c>
      <c r="D4" s="6" t="n">
        <v>0.0212232262556976</v>
      </c>
      <c r="E4" s="6" t="n">
        <v>0.105322069371282</v>
      </c>
      <c r="F4" s="6" t="n">
        <v>0.0142115464566719</v>
      </c>
      <c r="G4" s="6" t="n">
        <f aca="false">C4-E4</f>
        <v>0.028172158764445</v>
      </c>
      <c r="H4" s="6" t="n">
        <f aca="false">SQRT(D4^2+F4^2)</f>
        <v>0.0255419925884939</v>
      </c>
      <c r="I4" s="11" t="n">
        <f aca="false">G4/H4</f>
        <v>1.10297419697538</v>
      </c>
      <c r="J4" s="12" t="n">
        <f aca="false">2*(1-NORMSDIST(ABS(I4)))</f>
        <v>0.27003837071263</v>
      </c>
      <c r="K4" s="10" t="n">
        <v>17.8004775050025</v>
      </c>
      <c r="L4" s="13" t="n">
        <v>0.823</v>
      </c>
      <c r="M4" s="13" t="n">
        <v>0.044</v>
      </c>
      <c r="N4" s="6" t="n">
        <f aca="false">C4/L4</f>
        <v>0.162204408427372</v>
      </c>
      <c r="O4" s="6" t="n">
        <f aca="false">N4*SQRT((D4/C4)^2+(M4/L4)^2)</f>
        <v>0.0272067006783363</v>
      </c>
      <c r="P4" s="6" t="n">
        <f aca="false">N4-E4</f>
        <v>0.0568823390560898</v>
      </c>
      <c r="Q4" s="6" t="n">
        <f aca="false">SQRT(O4^2+F4^2)</f>
        <v>0.0306948304196445</v>
      </c>
      <c r="R4" s="11" t="n">
        <f aca="false">P4/Q4</f>
        <v>1.85315697394065</v>
      </c>
      <c r="S4" s="12" t="n">
        <f aca="false">2*(1-NORMSDIST(ABS(R4)))</f>
        <v>0.063859862631986</v>
      </c>
    </row>
    <row r="5" customFormat="false" ht="15" hidden="false" customHeight="true" outlineLevel="0" collapsed="false">
      <c r="A5" s="5" t="s">
        <v>88</v>
      </c>
      <c r="B5" s="5" t="s">
        <v>83</v>
      </c>
      <c r="C5" s="6" t="n">
        <v>0.187434525933196</v>
      </c>
      <c r="D5" s="6" t="n">
        <v>0.0395378980603419</v>
      </c>
      <c r="E5" s="6" t="n">
        <v>0.121646954775747</v>
      </c>
      <c r="F5" s="6" t="n">
        <v>0.0410701638889498</v>
      </c>
      <c r="G5" s="6" t="n">
        <f aca="false">C5-E5</f>
        <v>0.065787571157449</v>
      </c>
      <c r="H5" s="6" t="n">
        <f aca="false">SQRT(D5^2+F5^2)</f>
        <v>0.057008804099851</v>
      </c>
      <c r="I5" s="11" t="n">
        <f aca="false">G5/H5</f>
        <v>1.15398967223066</v>
      </c>
      <c r="J5" s="12" t="n">
        <f aca="false">2*(1-NORMSDIST(ABS(I5)))</f>
        <v>0.248504403120304</v>
      </c>
      <c r="K5" s="10" t="n">
        <v>24.9075704338917</v>
      </c>
      <c r="L5" s="13" t="n">
        <v>0.591</v>
      </c>
      <c r="M5" s="13" t="n">
        <v>0.0213</v>
      </c>
      <c r="N5" s="6" t="n">
        <f aca="false">C5/L5</f>
        <v>0.317148098025712</v>
      </c>
      <c r="O5" s="6" t="n">
        <f aca="false">N5*SQRT((D5/C5)^2+(M5/L5)^2)</f>
        <v>0.0678694281406051</v>
      </c>
      <c r="P5" s="6" t="n">
        <f aca="false">N5-E5</f>
        <v>0.195501143249965</v>
      </c>
      <c r="Q5" s="6" t="n">
        <f aca="false">SQRT(O5^2+F5^2)</f>
        <v>0.0793285423917391</v>
      </c>
      <c r="R5" s="11" t="n">
        <f aca="false">P5/Q5</f>
        <v>2.46444895312137</v>
      </c>
      <c r="S5" s="12" t="n">
        <f aca="false">2*(1-NORMSDIST(ABS(R5)))</f>
        <v>0.0137224108572511</v>
      </c>
    </row>
    <row r="6" customFormat="false" ht="15" hidden="false" customHeight="true" outlineLevel="0" collapsed="false">
      <c r="A6" s="5" t="s">
        <v>88</v>
      </c>
      <c r="B6" s="5" t="s">
        <v>86</v>
      </c>
      <c r="C6" s="6" t="n">
        <v>0.187434525933196</v>
      </c>
      <c r="D6" s="6" t="n">
        <v>0.0395378980603419</v>
      </c>
      <c r="E6" s="6" t="n">
        <v>0.181289525779766</v>
      </c>
      <c r="F6" s="6" t="n">
        <v>0.0244872772825024</v>
      </c>
      <c r="G6" s="6" t="n">
        <f aca="false">C6-E6</f>
        <v>0.00614500015343</v>
      </c>
      <c r="H6" s="6" t="n">
        <f aca="false">SQRT(D6^2+F6^2)</f>
        <v>0.0465066891074837</v>
      </c>
      <c r="I6" s="11" t="n">
        <f aca="false">G6/H6</f>
        <v>0.132131533578493</v>
      </c>
      <c r="J6" s="12" t="n">
        <f aca="false">2*(1-NORMSDIST(ABS(I6)))</f>
        <v>0.894880254381874</v>
      </c>
      <c r="K6" s="10" t="n">
        <v>0</v>
      </c>
      <c r="L6" s="13" t="n">
        <v>0.591</v>
      </c>
      <c r="M6" s="13" t="n">
        <v>0.0213</v>
      </c>
      <c r="N6" s="6" t="n">
        <f aca="false">C6/L6</f>
        <v>0.317148098025712</v>
      </c>
      <c r="O6" s="6" t="n">
        <f aca="false">N6*SQRT((D6/C6)^2+(M6/L6)^2)</f>
        <v>0.0678694281406051</v>
      </c>
      <c r="P6" s="6" t="n">
        <f aca="false">N6-E6</f>
        <v>0.135858572245946</v>
      </c>
      <c r="Q6" s="6" t="n">
        <f aca="false">SQRT(O6^2+F6^2)</f>
        <v>0.0721518262058759</v>
      </c>
      <c r="R6" s="11" t="n">
        <f aca="false">P6/Q6</f>
        <v>1.88295403443139</v>
      </c>
      <c r="S6" s="12" t="n">
        <f aca="false">2*(1-NORMSDIST(ABS(R6)))</f>
        <v>0.05970659748573</v>
      </c>
    </row>
    <row r="8" customFormat="false" ht="15" hidden="false" customHeight="true" outlineLevel="0" collapsed="false">
      <c r="A8" s="8" t="s">
        <v>826</v>
      </c>
    </row>
    <row r="9" customFormat="false" ht="15" hidden="false" customHeight="true" outlineLevel="0" collapsed="false">
      <c r="A9" s="8" t="s">
        <v>827</v>
      </c>
    </row>
    <row r="11" customFormat="false" ht="15" hidden="false" customHeight="true" outlineLevel="0" collapsed="false">
      <c r="A11" s="2" t="s">
        <v>828</v>
      </c>
    </row>
    <row r="12" customFormat="false" ht="31.5" hidden="false" customHeight="true" outlineLevel="0" collapsed="false">
      <c r="A12" s="4" t="s">
        <v>46</v>
      </c>
      <c r="B12" s="4" t="s">
        <v>813</v>
      </c>
      <c r="C12" s="4" t="s">
        <v>94</v>
      </c>
      <c r="D12" s="4" t="s">
        <v>829</v>
      </c>
      <c r="E12" s="4" t="s">
        <v>96</v>
      </c>
      <c r="F12" s="4" t="s">
        <v>815</v>
      </c>
      <c r="G12" s="4" t="s">
        <v>96</v>
      </c>
      <c r="H12" s="4" t="s">
        <v>816</v>
      </c>
      <c r="I12" s="4" t="s">
        <v>817</v>
      </c>
      <c r="J12" s="4" t="s">
        <v>818</v>
      </c>
      <c r="K12" s="4" t="s">
        <v>97</v>
      </c>
      <c r="L12" s="4" t="s">
        <v>152</v>
      </c>
      <c r="M12" s="4" t="s">
        <v>819</v>
      </c>
      <c r="N12" s="4" t="s">
        <v>830</v>
      </c>
    </row>
    <row r="13" customFormat="false" ht="15" hidden="false" customHeight="true" outlineLevel="0" collapsed="false">
      <c r="A13" s="5" t="s">
        <v>74</v>
      </c>
      <c r="B13" s="5" t="s">
        <v>83</v>
      </c>
      <c r="C13" s="5" t="s">
        <v>109</v>
      </c>
      <c r="D13" s="6" t="n">
        <v>0.193999057447119</v>
      </c>
      <c r="E13" s="6" t="n">
        <v>0.0333393182414597</v>
      </c>
      <c r="F13" s="6" t="n">
        <v>0.0251487873671414</v>
      </c>
      <c r="G13" s="6" t="n">
        <v>0.0390235742469109</v>
      </c>
      <c r="H13" s="6" t="n">
        <v>0.168850270079978</v>
      </c>
      <c r="I13" s="6" t="n">
        <v>0.0513259143884402</v>
      </c>
      <c r="J13" s="11" t="n">
        <v>3.28976642874981</v>
      </c>
      <c r="K13" s="12" t="n">
        <v>0.00100270578838208</v>
      </c>
      <c r="L13" s="12" t="n">
        <v>0.00100270578838208</v>
      </c>
      <c r="M13" s="10" t="n">
        <v>90.7600446806299</v>
      </c>
      <c r="N13" s="6" t="n">
        <v>1.18394285398303</v>
      </c>
    </row>
    <row r="14" customFormat="false" ht="15" hidden="false" customHeight="true" outlineLevel="0" collapsed="false">
      <c r="A14" s="5" t="s">
        <v>74</v>
      </c>
      <c r="B14" s="5" t="s">
        <v>83</v>
      </c>
      <c r="C14" s="5" t="s">
        <v>121</v>
      </c>
      <c r="D14" s="6" t="n">
        <v>0.198779809143776</v>
      </c>
      <c r="E14" s="6" t="n">
        <v>0.0358288878761219</v>
      </c>
      <c r="F14" s="6" t="n">
        <v>0.0614851211879531</v>
      </c>
      <c r="G14" s="6" t="n">
        <v>0.0373641850798194</v>
      </c>
      <c r="H14" s="6" t="n">
        <v>0.137294687955823</v>
      </c>
      <c r="I14" s="6" t="n">
        <v>0.0517667029384595</v>
      </c>
      <c r="J14" s="11" t="n">
        <v>2.6521814247865</v>
      </c>
      <c r="K14" s="12" t="n">
        <v>0.00799735572787191</v>
      </c>
      <c r="L14" s="12" t="n">
        <v>0.00799735572787191</v>
      </c>
      <c r="M14" s="10" t="n">
        <v>85.7834720923681</v>
      </c>
      <c r="N14" s="6" t="n">
        <v>1.1471661547639</v>
      </c>
    </row>
    <row r="15" customFormat="false" ht="15" hidden="false" customHeight="true" outlineLevel="0" collapsed="false">
      <c r="A15" s="5" t="s">
        <v>74</v>
      </c>
      <c r="B15" s="5" t="s">
        <v>83</v>
      </c>
      <c r="C15" s="5" t="s">
        <v>108</v>
      </c>
      <c r="D15" s="6" t="n">
        <v>0.240169527256228</v>
      </c>
      <c r="E15" s="6" t="n">
        <v>0.055404222032796</v>
      </c>
      <c r="F15" s="6" t="n">
        <v>0.0425600264083324</v>
      </c>
      <c r="G15" s="6" t="n">
        <v>0.0551148441926682</v>
      </c>
      <c r="H15" s="6" t="n">
        <v>0.197609500847896</v>
      </c>
      <c r="I15" s="6" t="n">
        <v>0.0781490490629377</v>
      </c>
      <c r="J15" s="11" t="n">
        <v>2.52862322980731</v>
      </c>
      <c r="K15" s="12" t="n">
        <v>0.0114510879780236</v>
      </c>
      <c r="L15" s="12" t="n">
        <v>0.0114510879780236</v>
      </c>
      <c r="M15" s="10" t="n">
        <v>84.3601798978663</v>
      </c>
      <c r="N15" s="6" t="n">
        <v>1.21848648296785</v>
      </c>
    </row>
    <row r="16" customFormat="false" ht="15" hidden="false" customHeight="true" outlineLevel="0" collapsed="false">
      <c r="A16" s="5" t="s">
        <v>74</v>
      </c>
      <c r="B16" s="5" t="s">
        <v>83</v>
      </c>
      <c r="C16" s="5" t="s">
        <v>113</v>
      </c>
      <c r="D16" s="6" t="n">
        <v>0.166084431580041</v>
      </c>
      <c r="E16" s="6" t="n">
        <v>0.0291197724950021</v>
      </c>
      <c r="F16" s="6" t="n">
        <v>0.0636693100501902</v>
      </c>
      <c r="G16" s="6" t="n">
        <v>0.0335399398298864</v>
      </c>
      <c r="H16" s="6" t="n">
        <v>0.102415121529851</v>
      </c>
      <c r="I16" s="6" t="n">
        <v>0.044417211911072</v>
      </c>
      <c r="J16" s="11" t="n">
        <v>2.30575304309727</v>
      </c>
      <c r="K16" s="12" t="n">
        <v>0.0211244353807835</v>
      </c>
      <c r="L16" s="12" t="n">
        <v>0.0211244353807835</v>
      </c>
      <c r="M16" s="10" t="n">
        <v>81.1906226601918</v>
      </c>
      <c r="N16" s="6" t="n">
        <v>1.10784326587747</v>
      </c>
    </row>
    <row r="17" customFormat="false" ht="15" hidden="false" customHeight="true" outlineLevel="0" collapsed="false">
      <c r="A17" s="5" t="s">
        <v>74</v>
      </c>
      <c r="B17" s="5" t="s">
        <v>83</v>
      </c>
      <c r="C17" s="5" t="s">
        <v>112</v>
      </c>
      <c r="D17" s="6" t="n">
        <v>0.165289633030586</v>
      </c>
      <c r="E17" s="6" t="n">
        <v>0.0292195503845898</v>
      </c>
      <c r="F17" s="6" t="n">
        <v>0.0641188820694463</v>
      </c>
      <c r="G17" s="6" t="n">
        <v>0.0337387285494213</v>
      </c>
      <c r="H17" s="6" t="n">
        <v>0.10117075096114</v>
      </c>
      <c r="I17" s="6" t="n">
        <v>0.0446327674339058</v>
      </c>
      <c r="J17" s="11" t="n">
        <v>2.26673712560974</v>
      </c>
      <c r="K17" s="12" t="n">
        <v>0.0234062890384876</v>
      </c>
      <c r="L17" s="12" t="n">
        <v>0.0234062890384876</v>
      </c>
      <c r="M17" s="10" t="n">
        <v>80.537542173038</v>
      </c>
      <c r="N17" s="6" t="n">
        <v>1.10646555569145</v>
      </c>
    </row>
    <row r="18" customFormat="false" ht="15" hidden="false" customHeight="true" outlineLevel="0" collapsed="false">
      <c r="A18" s="5" t="s">
        <v>74</v>
      </c>
      <c r="B18" s="5" t="s">
        <v>83</v>
      </c>
      <c r="C18" s="5" t="s">
        <v>117</v>
      </c>
      <c r="D18" s="6" t="n">
        <v>0.156291993379629</v>
      </c>
      <c r="E18" s="6" t="n">
        <v>0.0367262066760418</v>
      </c>
      <c r="F18" s="6" t="n">
        <v>0.0485245807199309</v>
      </c>
      <c r="G18" s="6" t="n">
        <v>0.0383234671110893</v>
      </c>
      <c r="H18" s="6" t="n">
        <v>0.107767412659698</v>
      </c>
      <c r="I18" s="6" t="n">
        <v>0.0530801506047796</v>
      </c>
      <c r="J18" s="11" t="n">
        <v>2.03027707027633</v>
      </c>
      <c r="K18" s="12" t="n">
        <v>0.0423283836196998</v>
      </c>
      <c r="L18" s="12" t="n">
        <v>0.0423283836196998</v>
      </c>
      <c r="M18" s="10" t="n">
        <v>75.7400791032322</v>
      </c>
      <c r="N18" s="6" t="n">
        <v>1.11378866211531</v>
      </c>
    </row>
    <row r="19" customFormat="false" ht="15" hidden="false" customHeight="true" outlineLevel="0" collapsed="false">
      <c r="A19" s="5" t="s">
        <v>74</v>
      </c>
      <c r="B19" s="5" t="s">
        <v>83</v>
      </c>
      <c r="C19" s="5" t="s">
        <v>118</v>
      </c>
      <c r="D19" s="6" t="n">
        <v>0.156291993379629</v>
      </c>
      <c r="E19" s="6" t="n">
        <v>0.0348215530924816</v>
      </c>
      <c r="F19" s="6" t="n">
        <v>0.0525101007257309</v>
      </c>
      <c r="G19" s="6" t="n">
        <v>0.0377348519765365</v>
      </c>
      <c r="H19" s="6" t="n">
        <v>0.103781892653898</v>
      </c>
      <c r="I19" s="6" t="n">
        <v>0.051346466416528</v>
      </c>
      <c r="J19" s="11" t="n">
        <v>2.02120807714417</v>
      </c>
      <c r="K19" s="12" t="n">
        <v>0.0432582299366906</v>
      </c>
      <c r="L19" s="12" t="n">
        <v>0.0432582299366907</v>
      </c>
      <c r="M19" s="10" t="n">
        <v>75.5218861831986</v>
      </c>
      <c r="N19" s="6" t="n">
        <v>1.10935846929551</v>
      </c>
    </row>
    <row r="20" customFormat="false" ht="15" hidden="false" customHeight="true" outlineLevel="0" collapsed="false">
      <c r="A20" s="5" t="s">
        <v>74</v>
      </c>
      <c r="B20" s="5" t="s">
        <v>83</v>
      </c>
      <c r="C20" s="5" t="s">
        <v>107</v>
      </c>
      <c r="D20" s="6" t="n">
        <v>0.136170150364565</v>
      </c>
      <c r="E20" s="6" t="n">
        <v>0.0184091862132975</v>
      </c>
      <c r="F20" s="6" t="n">
        <v>0.0869012780271168</v>
      </c>
      <c r="G20" s="6" t="n">
        <v>0.0176687179566319</v>
      </c>
      <c r="H20" s="6" t="n">
        <v>0.0492688723374482</v>
      </c>
      <c r="I20" s="6" t="n">
        <v>0.0255163032445311</v>
      </c>
      <c r="J20" s="11" t="n">
        <v>1.93087814740593</v>
      </c>
      <c r="K20" s="12" t="n">
        <v>0.0534981231982005</v>
      </c>
      <c r="L20" s="12" t="n">
        <v>0.0534981231982006</v>
      </c>
      <c r="M20" s="10" t="n">
        <v>73.1780551589864</v>
      </c>
      <c r="N20" s="6" t="n">
        <v>1.05050276390541</v>
      </c>
    </row>
    <row r="21" customFormat="false" ht="15" hidden="false" customHeight="true" outlineLevel="0" collapsed="false">
      <c r="A21" s="5" t="s">
        <v>74</v>
      </c>
      <c r="B21" s="5" t="s">
        <v>83</v>
      </c>
      <c r="C21" s="5" t="s">
        <v>103</v>
      </c>
      <c r="D21" s="6" t="n">
        <v>0.133494228135727</v>
      </c>
      <c r="E21" s="6" t="n">
        <v>0.0181654362523023</v>
      </c>
      <c r="F21" s="6" t="n">
        <v>0.085784575297348</v>
      </c>
      <c r="G21" s="6" t="n">
        <v>0.017428264506622</v>
      </c>
      <c r="H21" s="6" t="n">
        <v>0.047709652838379</v>
      </c>
      <c r="I21" s="6" t="n">
        <v>0.02517394442572</v>
      </c>
      <c r="J21" s="11" t="n">
        <v>1.89519973634463</v>
      </c>
      <c r="K21" s="12" t="n">
        <v>0.0580659450848492</v>
      </c>
      <c r="L21" s="12" t="n">
        <v>0.0580659450848492</v>
      </c>
      <c r="M21" s="10" t="n">
        <v>72.1586669601588</v>
      </c>
      <c r="N21" s="6" t="n">
        <v>1.04886607582168</v>
      </c>
    </row>
    <row r="22" customFormat="false" ht="15" hidden="false" customHeight="true" outlineLevel="0" collapsed="false">
      <c r="A22" s="5" t="s">
        <v>74</v>
      </c>
      <c r="B22" s="5" t="s">
        <v>83</v>
      </c>
      <c r="C22" s="5" t="s">
        <v>100</v>
      </c>
      <c r="D22" s="6" t="n">
        <v>0.133494228135727</v>
      </c>
      <c r="E22" s="6" t="n">
        <v>0.0212232262556976</v>
      </c>
      <c r="F22" s="6" t="n">
        <v>0.085784575297348</v>
      </c>
      <c r="G22" s="6" t="n">
        <v>0.0231662292997347</v>
      </c>
      <c r="H22" s="6" t="n">
        <v>0.047709652838379</v>
      </c>
      <c r="I22" s="6" t="n">
        <v>0.0314181398664596</v>
      </c>
      <c r="J22" s="11" t="n">
        <v>1.51853843165653</v>
      </c>
      <c r="K22" s="12" t="n">
        <v>0.128878718751906</v>
      </c>
      <c r="L22" s="12" t="n">
        <v>0.128878718751906</v>
      </c>
      <c r="M22" s="10" t="n">
        <v>56.6340939411378</v>
      </c>
      <c r="N22" s="6" t="n">
        <v>1.04886607582168</v>
      </c>
    </row>
    <row r="23" customFormat="false" ht="15" hidden="false" customHeight="true" outlineLevel="0" collapsed="false">
      <c r="A23" s="5" t="s">
        <v>74</v>
      </c>
      <c r="B23" s="5" t="s">
        <v>83</v>
      </c>
      <c r="C23" s="5" t="s">
        <v>101</v>
      </c>
      <c r="D23" s="6" t="n">
        <v>0.133494228135727</v>
      </c>
      <c r="E23" s="6" t="n">
        <v>0.0212232262556976</v>
      </c>
      <c r="F23" s="6" t="n">
        <v>0.085784575297348</v>
      </c>
      <c r="G23" s="6" t="n">
        <v>0.0231662292997347</v>
      </c>
      <c r="H23" s="6" t="n">
        <v>0.047709652838379</v>
      </c>
      <c r="I23" s="6" t="n">
        <v>0.0314181398664596</v>
      </c>
      <c r="J23" s="11" t="n">
        <v>1.51853843165653</v>
      </c>
      <c r="K23" s="12" t="n">
        <v>0.128878718751906</v>
      </c>
      <c r="L23" s="12" t="n">
        <v>0.128878718751906</v>
      </c>
      <c r="M23" s="10" t="n">
        <v>56.6340939411378</v>
      </c>
      <c r="N23" s="6" t="n">
        <v>1.04886607582168</v>
      </c>
    </row>
    <row r="24" customFormat="false" ht="15" hidden="false" customHeight="true" outlineLevel="0" collapsed="false">
      <c r="A24" s="5" t="s">
        <v>74</v>
      </c>
      <c r="B24" s="5" t="s">
        <v>83</v>
      </c>
      <c r="C24" s="5" t="s">
        <v>105</v>
      </c>
      <c r="D24" s="6" t="n">
        <v>0.133204407107757</v>
      </c>
      <c r="E24" s="6" t="n">
        <v>0.0212395866478736</v>
      </c>
      <c r="F24" s="6" t="n">
        <v>0.0857669347558498</v>
      </c>
      <c r="G24" s="6" t="n">
        <v>0.0231650426023592</v>
      </c>
      <c r="H24" s="6" t="n">
        <v>0.0474374723519072</v>
      </c>
      <c r="I24" s="6" t="n">
        <v>0.0314283190727988</v>
      </c>
      <c r="J24" s="11" t="n">
        <v>1.50938623990757</v>
      </c>
      <c r="K24" s="12" t="n">
        <v>0.131200107409119</v>
      </c>
      <c r="L24" s="12" t="n">
        <v>0.13120010740912</v>
      </c>
      <c r="M24" s="10" t="n">
        <v>56.1065995710034</v>
      </c>
      <c r="N24" s="6" t="n">
        <v>1.04858063379055</v>
      </c>
    </row>
    <row r="25" customFormat="false" ht="15" hidden="false" customHeight="true" outlineLevel="0" collapsed="false">
      <c r="A25" s="5" t="s">
        <v>74</v>
      </c>
      <c r="B25" s="5" t="s">
        <v>83</v>
      </c>
      <c r="C25" s="5" t="s">
        <v>120</v>
      </c>
      <c r="D25" s="6" t="n">
        <v>0.134286396728622</v>
      </c>
      <c r="E25" s="6" t="n">
        <v>0.0224825022441559</v>
      </c>
      <c r="F25" s="6" t="n">
        <v>0.0854820152379979</v>
      </c>
      <c r="G25" s="6" t="n">
        <v>0.0237900943268359</v>
      </c>
      <c r="H25" s="6" t="n">
        <v>0.0488043814906241</v>
      </c>
      <c r="I25" s="6" t="n">
        <v>0.0327327281972986</v>
      </c>
      <c r="J25" s="11" t="n">
        <v>1.49099644846139</v>
      </c>
      <c r="K25" s="12" t="n">
        <v>0.135962427350227</v>
      </c>
      <c r="L25" s="12" t="n">
        <v>0.135962427350227</v>
      </c>
      <c r="M25" s="10" t="n">
        <v>55.0171692355947</v>
      </c>
      <c r="N25" s="6" t="n">
        <v>1.05001492829337</v>
      </c>
    </row>
    <row r="26" customFormat="false" ht="15" hidden="false" customHeight="true" outlineLevel="0" collapsed="false">
      <c r="A26" s="5" t="s">
        <v>74</v>
      </c>
      <c r="B26" s="5" t="s">
        <v>83</v>
      </c>
      <c r="C26" s="5" t="s">
        <v>114</v>
      </c>
      <c r="D26" s="6" t="n">
        <v>0.129883827265723</v>
      </c>
      <c r="E26" s="6" t="n">
        <v>0.0571814265746728</v>
      </c>
      <c r="F26" s="6" t="n">
        <v>0.0564956207315309</v>
      </c>
      <c r="G26" s="6" t="n">
        <v>0.0717020060612459</v>
      </c>
      <c r="H26" s="6" t="n">
        <v>0.0733882065341921</v>
      </c>
      <c r="I26" s="6" t="n">
        <v>0.0917109220230701</v>
      </c>
      <c r="J26" s="11" t="n">
        <v>0.800212285683172</v>
      </c>
      <c r="K26" s="12" t="n">
        <v>0.42358781287276</v>
      </c>
      <c r="L26" s="12" t="n">
        <v>0.42358781287276</v>
      </c>
      <c r="M26" s="10" t="n">
        <v>0</v>
      </c>
      <c r="N26" s="6" t="n">
        <v>1.07614822360727</v>
      </c>
    </row>
    <row r="27" customFormat="false" ht="15" hidden="false" customHeight="true" outlineLevel="0" collapsed="false">
      <c r="A27" s="5" t="s">
        <v>74</v>
      </c>
      <c r="B27" s="5" t="s">
        <v>83</v>
      </c>
      <c r="C27" s="5" t="s">
        <v>115</v>
      </c>
      <c r="D27" s="6" t="n">
        <v>0.129883827265723</v>
      </c>
      <c r="E27" s="6" t="n">
        <v>0.0595269060241319</v>
      </c>
      <c r="F27" s="6" t="n">
        <v>0.0564956207315309</v>
      </c>
      <c r="G27" s="6" t="n">
        <v>0.0757443131754248</v>
      </c>
      <c r="H27" s="6" t="n">
        <v>0.0733882065341921</v>
      </c>
      <c r="I27" s="6" t="n">
        <v>0.0963361485592125</v>
      </c>
      <c r="J27" s="11" t="n">
        <v>0.761793030256804</v>
      </c>
      <c r="K27" s="12" t="n">
        <v>0.446183540839526</v>
      </c>
      <c r="L27" s="12" t="n">
        <v>0.446183540839526</v>
      </c>
      <c r="M27" s="10" t="n">
        <v>0</v>
      </c>
      <c r="N27" s="6" t="n">
        <v>1.07614822360727</v>
      </c>
    </row>
    <row r="28" customFormat="false" ht="15" hidden="false" customHeight="true" outlineLevel="0" collapsed="false">
      <c r="A28" s="5" t="s">
        <v>74</v>
      </c>
      <c r="B28" s="5" t="s">
        <v>83</v>
      </c>
      <c r="C28" s="5" t="s">
        <v>111</v>
      </c>
      <c r="D28" s="6" t="n">
        <v>0.106849470315055</v>
      </c>
      <c r="E28" s="6" t="n">
        <v>0.0294376193123048</v>
      </c>
      <c r="F28" s="6" t="n">
        <v>0.0820288285035058</v>
      </c>
      <c r="G28" s="6" t="n">
        <v>0.0303032771586387</v>
      </c>
      <c r="H28" s="6" t="n">
        <v>0.0248206418115492</v>
      </c>
      <c r="I28" s="6" t="n">
        <v>0.0422476275940964</v>
      </c>
      <c r="J28" s="11" t="n">
        <v>0.587503801397302</v>
      </c>
      <c r="K28" s="12" t="n">
        <v>0.556865398155004</v>
      </c>
      <c r="L28" s="12" t="n">
        <v>0.556865398155004</v>
      </c>
      <c r="M28" s="10" t="n">
        <v>0</v>
      </c>
      <c r="N28" s="6" t="n">
        <v>1.0251312383527</v>
      </c>
    </row>
    <row r="29" customFormat="false" ht="15" hidden="false" customHeight="true" outlineLevel="0" collapsed="false">
      <c r="A29" s="5" t="s">
        <v>74</v>
      </c>
      <c r="B29" s="5" t="s">
        <v>86</v>
      </c>
      <c r="C29" s="5" t="s">
        <v>109</v>
      </c>
      <c r="D29" s="6" t="n">
        <v>0.193999057447119</v>
      </c>
      <c r="E29" s="6" t="n">
        <v>0.0333393182414597</v>
      </c>
      <c r="F29" s="6" t="n">
        <v>0.110097687442725</v>
      </c>
      <c r="G29" s="6" t="n">
        <v>0.0229449149208719</v>
      </c>
      <c r="H29" s="6" t="n">
        <v>0.083901370004394</v>
      </c>
      <c r="I29" s="6" t="n">
        <v>0.0404719564826236</v>
      </c>
      <c r="J29" s="11" t="n">
        <v>2.07307422956972</v>
      </c>
      <c r="K29" s="12" t="n">
        <v>0.0381653719135647</v>
      </c>
      <c r="L29" s="12" t="n">
        <v>0.0381653719135648</v>
      </c>
      <c r="M29" s="10" t="n">
        <v>76.7313978462876</v>
      </c>
      <c r="N29" s="6" t="n">
        <v>1.08752162626579</v>
      </c>
    </row>
    <row r="30" customFormat="false" ht="15" hidden="false" customHeight="true" outlineLevel="0" collapsed="false">
      <c r="A30" s="5" t="s">
        <v>74</v>
      </c>
      <c r="B30" s="5" t="s">
        <v>86</v>
      </c>
      <c r="C30" s="5" t="s">
        <v>121</v>
      </c>
      <c r="D30" s="6" t="n">
        <v>0.198779809143776</v>
      </c>
      <c r="E30" s="6" t="n">
        <v>0.0358288878761219</v>
      </c>
      <c r="F30" s="6" t="n">
        <v>0.111336436538339</v>
      </c>
      <c r="G30" s="6" t="n">
        <v>0.0233664862952285</v>
      </c>
      <c r="H30" s="6" t="n">
        <v>0.087443372605437</v>
      </c>
      <c r="I30" s="6" t="n">
        <v>0.0427750147659217</v>
      </c>
      <c r="J30" s="11" t="n">
        <v>2.04426282688515</v>
      </c>
      <c r="K30" s="12" t="n">
        <v>0.0409275894660739</v>
      </c>
      <c r="L30" s="12" t="n">
        <v>0.0409275894660739</v>
      </c>
      <c r="M30" s="10" t="n">
        <v>76.0708904964094</v>
      </c>
      <c r="N30" s="6" t="n">
        <v>1.09138046066111</v>
      </c>
    </row>
    <row r="31" customFormat="false" ht="15" hidden="false" customHeight="true" outlineLevel="0" collapsed="false">
      <c r="A31" s="5" t="s">
        <v>74</v>
      </c>
      <c r="B31" s="5" t="s">
        <v>86</v>
      </c>
      <c r="C31" s="5" t="s">
        <v>108</v>
      </c>
      <c r="D31" s="6" t="n">
        <v>0.240169527256228</v>
      </c>
      <c r="E31" s="6" t="n">
        <v>0.055404222032796</v>
      </c>
      <c r="F31" s="6" t="n">
        <v>0.112809472446451</v>
      </c>
      <c r="G31" s="6" t="n">
        <v>0.034662802135567</v>
      </c>
      <c r="H31" s="6" t="n">
        <v>0.127360054809777</v>
      </c>
      <c r="I31" s="6" t="n">
        <v>0.0653539415104309</v>
      </c>
      <c r="J31" s="11" t="n">
        <v>1.94877388978061</v>
      </c>
      <c r="K31" s="12" t="n">
        <v>0.0513224332055612</v>
      </c>
      <c r="L31" s="12" t="n">
        <v>0.0513224332055612</v>
      </c>
      <c r="M31" s="10" t="n">
        <v>73.6684093093987</v>
      </c>
      <c r="N31" s="6" t="n">
        <v>1.1358259037461</v>
      </c>
    </row>
    <row r="32" customFormat="false" ht="15" hidden="false" customHeight="true" outlineLevel="0" collapsed="false">
      <c r="A32" s="5" t="s">
        <v>74</v>
      </c>
      <c r="B32" s="5" t="s">
        <v>86</v>
      </c>
      <c r="C32" s="5" t="s">
        <v>113</v>
      </c>
      <c r="D32" s="6" t="n">
        <v>0.166084431580041</v>
      </c>
      <c r="E32" s="6" t="n">
        <v>0.0291197724950021</v>
      </c>
      <c r="F32" s="6" t="n">
        <v>0.104165657715891</v>
      </c>
      <c r="G32" s="6" t="n">
        <v>0.0187234141961302</v>
      </c>
      <c r="H32" s="6" t="n">
        <v>0.06191877386415</v>
      </c>
      <c r="I32" s="6" t="n">
        <v>0.0346197543220707</v>
      </c>
      <c r="J32" s="11" t="n">
        <v>1.78853880036566</v>
      </c>
      <c r="K32" s="12" t="n">
        <v>0.0736891215532887</v>
      </c>
      <c r="L32" s="12" t="n">
        <v>0.0736891215532887</v>
      </c>
      <c r="M32" s="10" t="n">
        <v>68.7389711130474</v>
      </c>
      <c r="N32" s="6" t="n">
        <v>1.06387592668783</v>
      </c>
    </row>
    <row r="33" customFormat="false" ht="15" hidden="false" customHeight="true" outlineLevel="0" collapsed="false">
      <c r="A33" s="5" t="s">
        <v>74</v>
      </c>
      <c r="B33" s="5" t="s">
        <v>86</v>
      </c>
      <c r="C33" s="5" t="s">
        <v>112</v>
      </c>
      <c r="D33" s="6" t="n">
        <v>0.165289633030586</v>
      </c>
      <c r="E33" s="6" t="n">
        <v>0.0292195503845898</v>
      </c>
      <c r="F33" s="6" t="n">
        <v>0.104432691261865</v>
      </c>
      <c r="G33" s="6" t="n">
        <v>0.0187167953819138</v>
      </c>
      <c r="H33" s="6" t="n">
        <v>0.060856941768721</v>
      </c>
      <c r="I33" s="6" t="n">
        <v>0.0347001520752577</v>
      </c>
      <c r="J33" s="11" t="n">
        <v>1.7537946703154</v>
      </c>
      <c r="K33" s="12" t="n">
        <v>0.0794656966418083</v>
      </c>
      <c r="L33" s="12" t="n">
        <v>0.0794656966418084</v>
      </c>
      <c r="M33" s="10" t="n">
        <v>67.4880881989047</v>
      </c>
      <c r="N33" s="6" t="n">
        <v>1.06274686862445</v>
      </c>
    </row>
    <row r="34" customFormat="false" ht="15" hidden="false" customHeight="true" outlineLevel="0" collapsed="false">
      <c r="A34" s="5" t="s">
        <v>74</v>
      </c>
      <c r="B34" s="5" t="s">
        <v>86</v>
      </c>
      <c r="C34" s="5" t="s">
        <v>107</v>
      </c>
      <c r="D34" s="6" t="n">
        <v>0.136170150364565</v>
      </c>
      <c r="E34" s="6" t="n">
        <v>0.0184091862132975</v>
      </c>
      <c r="F34" s="6" t="n">
        <v>0.107451780922529</v>
      </c>
      <c r="G34" s="6" t="n">
        <v>0.00987585457158133</v>
      </c>
      <c r="H34" s="6" t="n">
        <v>0.028718369442036</v>
      </c>
      <c r="I34" s="6" t="n">
        <v>0.0208909224438483</v>
      </c>
      <c r="J34" s="11" t="n">
        <v>1.37468173170556</v>
      </c>
      <c r="K34" s="12" t="n">
        <v>0.169230137272987</v>
      </c>
      <c r="L34" s="12" t="n">
        <v>0.169230137272987</v>
      </c>
      <c r="M34" s="10" t="n">
        <v>47.0829436571123</v>
      </c>
      <c r="N34" s="6" t="n">
        <v>1.02913471787318</v>
      </c>
    </row>
    <row r="35" customFormat="false" ht="15" hidden="false" customHeight="true" outlineLevel="0" collapsed="false">
      <c r="A35" s="5" t="s">
        <v>74</v>
      </c>
      <c r="B35" s="5" t="s">
        <v>86</v>
      </c>
      <c r="C35" s="5" t="s">
        <v>103</v>
      </c>
      <c r="D35" s="6" t="n">
        <v>0.133494228135727</v>
      </c>
      <c r="E35" s="6" t="n">
        <v>0.0181654362523023</v>
      </c>
      <c r="F35" s="6" t="n">
        <v>0.105322069371282</v>
      </c>
      <c r="G35" s="6" t="n">
        <v>0.0096575497319441</v>
      </c>
      <c r="H35" s="6" t="n">
        <v>0.028172158764445</v>
      </c>
      <c r="I35" s="6" t="n">
        <v>0.0205730732041042</v>
      </c>
      <c r="J35" s="11" t="n">
        <v>1.36937046230044</v>
      </c>
      <c r="K35" s="12" t="n">
        <v>0.170883502504589</v>
      </c>
      <c r="L35" s="12" t="n">
        <v>0.170883502504589</v>
      </c>
      <c r="M35" s="10" t="n">
        <v>46.6716571478066</v>
      </c>
      <c r="N35" s="6" t="n">
        <v>1.02857274699281</v>
      </c>
    </row>
    <row r="36" customFormat="false" ht="15" hidden="false" customHeight="true" outlineLevel="0" collapsed="false">
      <c r="A36" s="5" t="s">
        <v>74</v>
      </c>
      <c r="B36" s="5" t="s">
        <v>86</v>
      </c>
      <c r="C36" s="5" t="s">
        <v>120</v>
      </c>
      <c r="D36" s="6" t="n">
        <v>0.134286396728622</v>
      </c>
      <c r="E36" s="6" t="n">
        <v>0.0224825022441559</v>
      </c>
      <c r="F36" s="6" t="n">
        <v>0.0999325808667766</v>
      </c>
      <c r="G36" s="6" t="n">
        <v>0.0141039664015814</v>
      </c>
      <c r="H36" s="6" t="n">
        <v>0.0343538158618454</v>
      </c>
      <c r="I36" s="6" t="n">
        <v>0.0265402482169141</v>
      </c>
      <c r="J36" s="11" t="n">
        <v>1.29440446754947</v>
      </c>
      <c r="K36" s="12" t="n">
        <v>0.195525748300341</v>
      </c>
      <c r="L36" s="12" t="n">
        <v>0.195525748300341</v>
      </c>
      <c r="M36" s="10" t="n">
        <v>40.3157152655125</v>
      </c>
      <c r="N36" s="6" t="n">
        <v>1.03495072393762</v>
      </c>
    </row>
    <row r="37" customFormat="false" ht="15" hidden="false" customHeight="true" outlineLevel="0" collapsed="false">
      <c r="A37" s="5" t="s">
        <v>74</v>
      </c>
      <c r="B37" s="5" t="s">
        <v>86</v>
      </c>
      <c r="C37" s="5" t="s">
        <v>100</v>
      </c>
      <c r="D37" s="6" t="n">
        <v>0.133494228135727</v>
      </c>
      <c r="E37" s="6" t="n">
        <v>0.0212232262556976</v>
      </c>
      <c r="F37" s="6" t="n">
        <v>0.105322069371282</v>
      </c>
      <c r="G37" s="6" t="n">
        <v>0.0142115464566719</v>
      </c>
      <c r="H37" s="6" t="n">
        <v>0.028172158764445</v>
      </c>
      <c r="I37" s="6" t="n">
        <v>0.0255419925884939</v>
      </c>
      <c r="J37" s="11" t="n">
        <v>1.10297419697538</v>
      </c>
      <c r="K37" s="12" t="n">
        <v>0.270038370712629</v>
      </c>
      <c r="L37" s="12" t="n">
        <v>0.270038370712629</v>
      </c>
      <c r="M37" s="10" t="n">
        <v>17.8004775050025</v>
      </c>
      <c r="N37" s="6" t="n">
        <v>1.02857274699281</v>
      </c>
    </row>
    <row r="38" customFormat="false" ht="15" hidden="false" customHeight="true" outlineLevel="0" collapsed="false">
      <c r="A38" s="5" t="s">
        <v>74</v>
      </c>
      <c r="B38" s="5" t="s">
        <v>86</v>
      </c>
      <c r="C38" s="5" t="s">
        <v>101</v>
      </c>
      <c r="D38" s="6" t="n">
        <v>0.133494228135727</v>
      </c>
      <c r="E38" s="6" t="n">
        <v>0.0212232262556976</v>
      </c>
      <c r="F38" s="6" t="n">
        <v>0.105322069371282</v>
      </c>
      <c r="G38" s="6" t="n">
        <v>0.0142115464566719</v>
      </c>
      <c r="H38" s="6" t="n">
        <v>0.028172158764445</v>
      </c>
      <c r="I38" s="6" t="n">
        <v>0.0255419925884939</v>
      </c>
      <c r="J38" s="11" t="n">
        <v>1.10297419697538</v>
      </c>
      <c r="K38" s="12" t="n">
        <v>0.270038370712629</v>
      </c>
      <c r="L38" s="12" t="n">
        <v>0.270038370712629</v>
      </c>
      <c r="M38" s="10" t="n">
        <v>17.8004775050025</v>
      </c>
      <c r="N38" s="6" t="n">
        <v>1.02857274699281</v>
      </c>
    </row>
    <row r="39" customFormat="false" ht="15" hidden="false" customHeight="true" outlineLevel="0" collapsed="false">
      <c r="A39" s="5" t="s">
        <v>74</v>
      </c>
      <c r="B39" s="5" t="s">
        <v>86</v>
      </c>
      <c r="C39" s="5" t="s">
        <v>105</v>
      </c>
      <c r="D39" s="6" t="n">
        <v>0.133204407107757</v>
      </c>
      <c r="E39" s="6" t="n">
        <v>0.0212395866478736</v>
      </c>
      <c r="F39" s="6" t="n">
        <v>0.105194295414647</v>
      </c>
      <c r="G39" s="6" t="n">
        <v>0.0142108506523202</v>
      </c>
      <c r="H39" s="6" t="n">
        <v>0.02801011169311</v>
      </c>
      <c r="I39" s="6" t="n">
        <v>0.0255552013734011</v>
      </c>
      <c r="J39" s="11" t="n">
        <v>1.09606303952917</v>
      </c>
      <c r="K39" s="12" t="n">
        <v>0.273051187931251</v>
      </c>
      <c r="L39" s="12" t="n">
        <v>0.273051187931251</v>
      </c>
      <c r="M39" s="10" t="n">
        <v>16.7606014000008</v>
      </c>
      <c r="N39" s="6" t="n">
        <v>1.02840608329556</v>
      </c>
    </row>
    <row r="40" customFormat="false" ht="15" hidden="false" customHeight="true" outlineLevel="0" collapsed="false">
      <c r="A40" s="5" t="s">
        <v>74</v>
      </c>
      <c r="B40" s="5" t="s">
        <v>86</v>
      </c>
      <c r="C40" s="5" t="s">
        <v>117</v>
      </c>
      <c r="D40" s="6" t="n">
        <v>0.156291993379629</v>
      </c>
      <c r="E40" s="6" t="n">
        <v>0.0367262066760418</v>
      </c>
      <c r="F40" s="6" t="n">
        <v>0.111973597148227</v>
      </c>
      <c r="G40" s="6" t="n">
        <v>0.0209792621095814</v>
      </c>
      <c r="H40" s="6" t="n">
        <v>0.044318396231402</v>
      </c>
      <c r="I40" s="6" t="n">
        <v>0.0422959063678018</v>
      </c>
      <c r="J40" s="11" t="n">
        <v>1.04781762674649</v>
      </c>
      <c r="K40" s="12" t="n">
        <v>0.294722639718592</v>
      </c>
      <c r="L40" s="12" t="n">
        <v>0.294722639718592</v>
      </c>
      <c r="M40" s="10" t="n">
        <v>8.91883017539934</v>
      </c>
      <c r="N40" s="6" t="n">
        <v>1.04531512630589</v>
      </c>
    </row>
    <row r="41" customFormat="false" ht="15" hidden="false" customHeight="true" outlineLevel="0" collapsed="false">
      <c r="A41" s="5" t="s">
        <v>74</v>
      </c>
      <c r="B41" s="5" t="s">
        <v>86</v>
      </c>
      <c r="C41" s="5" t="s">
        <v>118</v>
      </c>
      <c r="D41" s="6" t="n">
        <v>0.156291993379629</v>
      </c>
      <c r="E41" s="6" t="n">
        <v>0.0348215530924816</v>
      </c>
      <c r="F41" s="6" t="n">
        <v>0.115016234637747</v>
      </c>
      <c r="G41" s="6" t="n">
        <v>0.0220476244181975</v>
      </c>
      <c r="H41" s="6" t="n">
        <v>0.041275758741882</v>
      </c>
      <c r="I41" s="6" t="n">
        <v>0.0412145399374834</v>
      </c>
      <c r="J41" s="11" t="n">
        <v>1.00148536910739</v>
      </c>
      <c r="K41" s="12" t="n">
        <v>0.316592210049713</v>
      </c>
      <c r="L41" s="12" t="n">
        <v>0.316592210049713</v>
      </c>
      <c r="M41" s="10" t="n">
        <v>0.296413233514432</v>
      </c>
      <c r="N41" s="6" t="n">
        <v>1.04213944498769</v>
      </c>
    </row>
    <row r="42" customFormat="false" ht="15" hidden="false" customHeight="true" outlineLevel="0" collapsed="false">
      <c r="A42" s="5" t="s">
        <v>74</v>
      </c>
      <c r="B42" s="5" t="s">
        <v>86</v>
      </c>
      <c r="C42" s="5" t="s">
        <v>114</v>
      </c>
      <c r="D42" s="6" t="n">
        <v>0.129883827265723</v>
      </c>
      <c r="E42" s="6" t="n">
        <v>0.0571814265746728</v>
      </c>
      <c r="F42" s="6" t="n">
        <v>0.0998030471901461</v>
      </c>
      <c r="G42" s="6" t="n">
        <v>0.0402086320076764</v>
      </c>
      <c r="H42" s="6" t="n">
        <v>0.0300807800755769</v>
      </c>
      <c r="I42" s="6" t="n">
        <v>0.069903144657758</v>
      </c>
      <c r="J42" s="11" t="n">
        <v>0.430320842114483</v>
      </c>
      <c r="K42" s="12" t="n">
        <v>0.666962268012398</v>
      </c>
      <c r="L42" s="12" t="n">
        <v>0.666962268012398</v>
      </c>
      <c r="M42" s="10" t="n">
        <v>0</v>
      </c>
      <c r="N42" s="6" t="n">
        <v>1.03053777751081</v>
      </c>
    </row>
    <row r="43" customFormat="false" ht="15" hidden="false" customHeight="true" outlineLevel="0" collapsed="false">
      <c r="A43" s="5" t="s">
        <v>74</v>
      </c>
      <c r="B43" s="5" t="s">
        <v>86</v>
      </c>
      <c r="C43" s="5" t="s">
        <v>115</v>
      </c>
      <c r="D43" s="6" t="n">
        <v>0.129883827265723</v>
      </c>
      <c r="E43" s="6" t="n">
        <v>0.0595269060241319</v>
      </c>
      <c r="F43" s="6" t="n">
        <v>0.0998030471901461</v>
      </c>
      <c r="G43" s="6" t="n">
        <v>0.040776165929893</v>
      </c>
      <c r="H43" s="6" t="n">
        <v>0.0300807800755769</v>
      </c>
      <c r="I43" s="6" t="n">
        <v>0.0721536433504781</v>
      </c>
      <c r="J43" s="11" t="n">
        <v>0.416898976666541</v>
      </c>
      <c r="K43" s="12" t="n">
        <v>0.676752302090843</v>
      </c>
      <c r="L43" s="12" t="n">
        <v>0.676752302090843</v>
      </c>
      <c r="M43" s="10" t="n">
        <v>0</v>
      </c>
      <c r="N43" s="6" t="n">
        <v>1.03053777751081</v>
      </c>
    </row>
    <row r="44" customFormat="false" ht="15" hidden="false" customHeight="true" outlineLevel="0" collapsed="false">
      <c r="A44" s="5" t="s">
        <v>74</v>
      </c>
      <c r="B44" s="5" t="s">
        <v>86</v>
      </c>
      <c r="C44" s="5" t="s">
        <v>111</v>
      </c>
      <c r="D44" s="6" t="n">
        <v>0.106849470315055</v>
      </c>
      <c r="E44" s="6" t="n">
        <v>0.0294376193123048</v>
      </c>
      <c r="F44" s="6" t="n">
        <v>0.0993788819875776</v>
      </c>
      <c r="G44" s="6" t="n">
        <v>0.0165961217128055</v>
      </c>
      <c r="H44" s="6" t="n">
        <v>0.00747058832747739</v>
      </c>
      <c r="I44" s="6" t="n">
        <v>0.033793559840337</v>
      </c>
      <c r="J44" s="11" t="n">
        <v>0.221065444504023</v>
      </c>
      <c r="K44" s="12" t="n">
        <v>0.825041475912397</v>
      </c>
      <c r="L44" s="12" t="n">
        <v>0.825041475912397</v>
      </c>
      <c r="M44" s="10" t="n">
        <v>0</v>
      </c>
      <c r="N44" s="6" t="n">
        <v>1.00749856279097</v>
      </c>
    </row>
    <row r="45" customFormat="false" ht="15" hidden="false" customHeight="true" outlineLevel="0" collapsed="false">
      <c r="A45" s="5" t="s">
        <v>88</v>
      </c>
      <c r="B45" s="5" t="s">
        <v>83</v>
      </c>
      <c r="C45" s="5" t="s">
        <v>108</v>
      </c>
      <c r="D45" s="6" t="n">
        <v>0.333822026461788</v>
      </c>
      <c r="E45" s="6" t="n">
        <v>0.0997370896079148</v>
      </c>
      <c r="F45" s="6" t="n">
        <v>0.123633506639536</v>
      </c>
      <c r="G45" s="6" t="n">
        <v>0.105717759547759</v>
      </c>
      <c r="H45" s="6" t="n">
        <v>0.210188519822252</v>
      </c>
      <c r="I45" s="6" t="n">
        <v>0.14534005548112</v>
      </c>
      <c r="J45" s="11" t="n">
        <v>1.44618439236495</v>
      </c>
      <c r="K45" s="12" t="n">
        <v>0.148125490158295</v>
      </c>
      <c r="L45" s="12" t="n">
        <v>0.148125490158295</v>
      </c>
      <c r="M45" s="10" t="n">
        <v>52.1862661663232</v>
      </c>
      <c r="N45" s="6" t="n">
        <v>1.23391065464899</v>
      </c>
    </row>
    <row r="46" customFormat="false" ht="15" hidden="false" customHeight="true" outlineLevel="0" collapsed="false">
      <c r="A46" s="5" t="s">
        <v>88</v>
      </c>
      <c r="B46" s="5" t="s">
        <v>83</v>
      </c>
      <c r="C46" s="5" t="s">
        <v>107</v>
      </c>
      <c r="D46" s="6" t="n">
        <v>0.189277626867675</v>
      </c>
      <c r="E46" s="6" t="n">
        <v>0.0352534678216488</v>
      </c>
      <c r="F46" s="6" t="n">
        <v>0.122857202707752</v>
      </c>
      <c r="G46" s="6" t="n">
        <v>0.0368387299975685</v>
      </c>
      <c r="H46" s="6" t="n">
        <v>0.066420424159923</v>
      </c>
      <c r="I46" s="6" t="n">
        <v>0.0509892049485553</v>
      </c>
      <c r="J46" s="11" t="n">
        <v>1.30263698418002</v>
      </c>
      <c r="K46" s="12" t="n">
        <v>0.192698725051239</v>
      </c>
      <c r="L46" s="12" t="n">
        <v>0.192698725051239</v>
      </c>
      <c r="M46" s="10" t="n">
        <v>41.0677271135267</v>
      </c>
      <c r="N46" s="6" t="n">
        <v>1.06867591990739</v>
      </c>
    </row>
    <row r="47" customFormat="false" ht="15" hidden="false" customHeight="true" outlineLevel="0" collapsed="false">
      <c r="A47" s="5" t="s">
        <v>88</v>
      </c>
      <c r="B47" s="5" t="s">
        <v>83</v>
      </c>
      <c r="C47" s="5" t="s">
        <v>103</v>
      </c>
      <c r="D47" s="6" t="n">
        <v>0.187434525933196</v>
      </c>
      <c r="E47" s="6" t="n">
        <v>0.0349244912858588</v>
      </c>
      <c r="F47" s="6" t="n">
        <v>0.121646954775747</v>
      </c>
      <c r="G47" s="6" t="n">
        <v>0.0365162808551294</v>
      </c>
      <c r="H47" s="6" t="n">
        <v>0.065787571157449</v>
      </c>
      <c r="I47" s="6" t="n">
        <v>0.0505287923768886</v>
      </c>
      <c r="J47" s="11" t="n">
        <v>1.30198186148497</v>
      </c>
      <c r="K47" s="12" t="n">
        <v>0.192922586265844</v>
      </c>
      <c r="L47" s="12" t="n">
        <v>0.192922586265844</v>
      </c>
      <c r="M47" s="10" t="n">
        <v>41.0084058836258</v>
      </c>
      <c r="N47" s="6" t="n">
        <v>1.06799981910158</v>
      </c>
    </row>
    <row r="48" customFormat="false" ht="15" hidden="false" customHeight="true" outlineLevel="0" collapsed="false">
      <c r="A48" s="5" t="s">
        <v>88</v>
      </c>
      <c r="B48" s="5" t="s">
        <v>83</v>
      </c>
      <c r="C48" s="5" t="s">
        <v>121</v>
      </c>
      <c r="D48" s="6" t="n">
        <v>0.261550149042891</v>
      </c>
      <c r="E48" s="6" t="n">
        <v>0.0662126469486195</v>
      </c>
      <c r="F48" s="6" t="n">
        <v>0.143573167824672</v>
      </c>
      <c r="G48" s="6" t="n">
        <v>0.0706486448780347</v>
      </c>
      <c r="H48" s="6" t="n">
        <v>0.117976981218219</v>
      </c>
      <c r="I48" s="6" t="n">
        <v>0.0968263685110889</v>
      </c>
      <c r="J48" s="11" t="n">
        <v>1.21843856206079</v>
      </c>
      <c r="K48" s="12" t="n">
        <v>0.223057358559332</v>
      </c>
      <c r="L48" s="12" t="n">
        <v>0.223057358559332</v>
      </c>
      <c r="M48" s="10" t="n">
        <v>32.6414500869471</v>
      </c>
      <c r="N48" s="6" t="n">
        <v>1.1252182099168</v>
      </c>
    </row>
    <row r="49" customFormat="false" ht="15" hidden="false" customHeight="true" outlineLevel="0" collapsed="false">
      <c r="A49" s="5" t="s">
        <v>88</v>
      </c>
      <c r="B49" s="5" t="s">
        <v>83</v>
      </c>
      <c r="C49" s="5" t="s">
        <v>100</v>
      </c>
      <c r="D49" s="6" t="n">
        <v>0.187434525933196</v>
      </c>
      <c r="E49" s="6" t="n">
        <v>0.0395378980603419</v>
      </c>
      <c r="F49" s="6" t="n">
        <v>0.121646954775747</v>
      </c>
      <c r="G49" s="6" t="n">
        <v>0.0410701638889498</v>
      </c>
      <c r="H49" s="6" t="n">
        <v>0.065787571157449</v>
      </c>
      <c r="I49" s="6" t="n">
        <v>0.057008804099851</v>
      </c>
      <c r="J49" s="11" t="n">
        <v>1.15398967223066</v>
      </c>
      <c r="K49" s="12" t="n">
        <v>0.248504403120304</v>
      </c>
      <c r="L49" s="12" t="n">
        <v>0.248504403120304</v>
      </c>
      <c r="M49" s="10" t="n">
        <v>24.9075704338917</v>
      </c>
      <c r="N49" s="6" t="n">
        <v>1.06799981910158</v>
      </c>
    </row>
    <row r="50" customFormat="false" ht="15" hidden="false" customHeight="true" outlineLevel="0" collapsed="false">
      <c r="A50" s="5" t="s">
        <v>88</v>
      </c>
      <c r="B50" s="5" t="s">
        <v>83</v>
      </c>
      <c r="C50" s="5" t="s">
        <v>101</v>
      </c>
      <c r="D50" s="6" t="n">
        <v>0.187434525933196</v>
      </c>
      <c r="E50" s="6" t="n">
        <v>0.0395378980603419</v>
      </c>
      <c r="F50" s="6" t="n">
        <v>0.121646954775747</v>
      </c>
      <c r="G50" s="6" t="n">
        <v>0.0410701638889498</v>
      </c>
      <c r="H50" s="6" t="n">
        <v>0.065787571157449</v>
      </c>
      <c r="I50" s="6" t="n">
        <v>0.057008804099851</v>
      </c>
      <c r="J50" s="11" t="n">
        <v>1.15398967223066</v>
      </c>
      <c r="K50" s="12" t="n">
        <v>0.248504403120304</v>
      </c>
      <c r="L50" s="12" t="n">
        <v>0.248504403120304</v>
      </c>
      <c r="M50" s="10" t="n">
        <v>24.9075704338917</v>
      </c>
      <c r="N50" s="6" t="n">
        <v>1.06799981910158</v>
      </c>
    </row>
    <row r="51" customFormat="false" ht="15" hidden="false" customHeight="true" outlineLevel="0" collapsed="false">
      <c r="A51" s="5" t="s">
        <v>88</v>
      </c>
      <c r="B51" s="5" t="s">
        <v>83</v>
      </c>
      <c r="C51" s="5" t="s">
        <v>105</v>
      </c>
      <c r="D51" s="6" t="n">
        <v>0.18741327368719</v>
      </c>
      <c r="E51" s="6" t="n">
        <v>0.0395429820886544</v>
      </c>
      <c r="F51" s="6" t="n">
        <v>0.121650991587693</v>
      </c>
      <c r="G51" s="6" t="n">
        <v>0.0410701837895664</v>
      </c>
      <c r="H51" s="6" t="n">
        <v>0.065762282099497</v>
      </c>
      <c r="I51" s="6" t="n">
        <v>0.0570123445314469</v>
      </c>
      <c r="J51" s="11" t="n">
        <v>1.1534744385617</v>
      </c>
      <c r="K51" s="12" t="n">
        <v>0.248715703420872</v>
      </c>
      <c r="L51" s="12" t="n">
        <v>0.248715703420872</v>
      </c>
      <c r="M51" s="10" t="n">
        <v>24.8404709165456</v>
      </c>
      <c r="N51" s="6" t="n">
        <v>1.06797281073378</v>
      </c>
    </row>
    <row r="52" customFormat="false" ht="15" hidden="false" customHeight="true" outlineLevel="0" collapsed="false">
      <c r="A52" s="5" t="s">
        <v>88</v>
      </c>
      <c r="B52" s="5" t="s">
        <v>83</v>
      </c>
      <c r="C52" s="5" t="s">
        <v>120</v>
      </c>
      <c r="D52" s="6" t="n">
        <v>0.180894862161888</v>
      </c>
      <c r="E52" s="6" t="n">
        <v>0.0412568286484899</v>
      </c>
      <c r="F52" s="6" t="n">
        <v>0.118017888332447</v>
      </c>
      <c r="G52" s="6" t="n">
        <v>0.0423705491618236</v>
      </c>
      <c r="H52" s="6" t="n">
        <v>0.062876973829441</v>
      </c>
      <c r="I52" s="6" t="n">
        <v>0.0591387296651303</v>
      </c>
      <c r="J52" s="11" t="n">
        <v>1.06321143834976</v>
      </c>
      <c r="K52" s="12" t="n">
        <v>0.287686076340314</v>
      </c>
      <c r="L52" s="12" t="n">
        <v>0.287686076340314</v>
      </c>
      <c r="M52" s="10" t="n">
        <v>11.537192235542</v>
      </c>
      <c r="N52" s="6" t="n">
        <v>1.06489582111723</v>
      </c>
    </row>
    <row r="53" customFormat="false" ht="15" hidden="false" customHeight="true" outlineLevel="0" collapsed="false">
      <c r="A53" s="5" t="s">
        <v>88</v>
      </c>
      <c r="B53" s="5" t="s">
        <v>83</v>
      </c>
      <c r="C53" s="5" t="s">
        <v>112</v>
      </c>
      <c r="D53" s="6" t="n">
        <v>0.228991300015454</v>
      </c>
      <c r="E53" s="6" t="n">
        <v>0.0610133802242448</v>
      </c>
      <c r="F53" s="6" t="n">
        <v>0.155293525961197</v>
      </c>
      <c r="G53" s="6" t="n">
        <v>0.0700059800225789</v>
      </c>
      <c r="H53" s="6" t="n">
        <v>0.073697774054257</v>
      </c>
      <c r="I53" s="6" t="n">
        <v>0.092862639448327</v>
      </c>
      <c r="J53" s="11" t="n">
        <v>0.793621358299489</v>
      </c>
      <c r="K53" s="12" t="n">
        <v>0.427415894667179</v>
      </c>
      <c r="L53" s="12" t="n">
        <v>0.427415894667179</v>
      </c>
      <c r="M53" s="10" t="n">
        <v>0</v>
      </c>
      <c r="N53" s="6" t="n">
        <v>1.07648141571414</v>
      </c>
    </row>
    <row r="54" customFormat="false" ht="15" hidden="false" customHeight="true" outlineLevel="0" collapsed="false">
      <c r="A54" s="5" t="s">
        <v>88</v>
      </c>
      <c r="B54" s="5" t="s">
        <v>83</v>
      </c>
      <c r="C54" s="5" t="s">
        <v>111</v>
      </c>
      <c r="D54" s="6" t="n">
        <v>0.180062190476249</v>
      </c>
      <c r="E54" s="6" t="n">
        <v>0.0607886178541685</v>
      </c>
      <c r="F54" s="6" t="n">
        <v>0.121537920588553</v>
      </c>
      <c r="G54" s="6" t="n">
        <v>0.0564334992662894</v>
      </c>
      <c r="H54" s="6" t="n">
        <v>0.058524269887696</v>
      </c>
      <c r="I54" s="6" t="n">
        <v>0.0829457406987147</v>
      </c>
      <c r="J54" s="11" t="n">
        <v>0.705572937135792</v>
      </c>
      <c r="K54" s="12" t="n">
        <v>0.480453759014299</v>
      </c>
      <c r="L54" s="12" t="n">
        <v>0.480453759014299</v>
      </c>
      <c r="M54" s="10" t="n">
        <v>0</v>
      </c>
      <c r="N54" s="6" t="n">
        <v>1.06027071803359</v>
      </c>
    </row>
    <row r="55" customFormat="false" ht="15" hidden="false" customHeight="true" outlineLevel="0" collapsed="false">
      <c r="A55" s="5" t="s">
        <v>88</v>
      </c>
      <c r="B55" s="5" t="s">
        <v>83</v>
      </c>
      <c r="C55" s="5" t="s">
        <v>113</v>
      </c>
      <c r="D55" s="6" t="n">
        <v>0.223566713089302</v>
      </c>
      <c r="E55" s="6" t="n">
        <v>0.0613076653496199</v>
      </c>
      <c r="F55" s="6" t="n">
        <v>0.15674361758135</v>
      </c>
      <c r="G55" s="6" t="n">
        <v>0.0728959129201457</v>
      </c>
      <c r="H55" s="6" t="n">
        <v>0.066823095507952</v>
      </c>
      <c r="I55" s="6" t="n">
        <v>0.095249377693938</v>
      </c>
      <c r="J55" s="11" t="n">
        <v>0.701559392048447</v>
      </c>
      <c r="K55" s="12" t="n">
        <v>0.48295398356189</v>
      </c>
      <c r="L55" s="12" t="n">
        <v>0.48295398356189</v>
      </c>
      <c r="M55" s="10" t="n">
        <v>0</v>
      </c>
      <c r="N55" s="6" t="n">
        <v>1.06910633173211</v>
      </c>
    </row>
    <row r="56" customFormat="false" ht="15" hidden="false" customHeight="true" outlineLevel="0" collapsed="false">
      <c r="A56" s="5" t="s">
        <v>88</v>
      </c>
      <c r="B56" s="5" t="s">
        <v>83</v>
      </c>
      <c r="C56" s="5" t="s">
        <v>118</v>
      </c>
      <c r="D56" s="6" t="n">
        <v>0.248741987350643</v>
      </c>
      <c r="E56" s="6" t="n">
        <v>0.140199805950924</v>
      </c>
      <c r="F56" s="6" t="n">
        <v>0.172166093451925</v>
      </c>
      <c r="G56" s="6" t="n">
        <v>0.115464594637236</v>
      </c>
      <c r="H56" s="6" t="n">
        <v>0.076575893898718</v>
      </c>
      <c r="I56" s="6" t="n">
        <v>0.181626149558421</v>
      </c>
      <c r="J56" s="11" t="n">
        <v>0.421612714275413</v>
      </c>
      <c r="K56" s="12" t="n">
        <v>0.67330772446086</v>
      </c>
      <c r="L56" s="12" t="n">
        <v>0.67330772446086</v>
      </c>
      <c r="M56" s="10" t="n">
        <v>0</v>
      </c>
      <c r="N56" s="6" t="n">
        <v>1.07958412107605</v>
      </c>
    </row>
    <row r="57" customFormat="false" ht="15" hidden="false" customHeight="true" outlineLevel="0" collapsed="false">
      <c r="A57" s="5" t="s">
        <v>88</v>
      </c>
      <c r="B57" s="5" t="s">
        <v>83</v>
      </c>
      <c r="C57" s="5" t="s">
        <v>117</v>
      </c>
      <c r="D57" s="6" t="n">
        <v>0.248741987350643</v>
      </c>
      <c r="E57" s="6" t="n">
        <v>0.146636728502048</v>
      </c>
      <c r="F57" s="6" t="n">
        <v>0.172166093451925</v>
      </c>
      <c r="G57" s="6" t="n">
        <v>0.112792706638841</v>
      </c>
      <c r="H57" s="6" t="n">
        <v>0.076575893898718</v>
      </c>
      <c r="I57" s="6" t="n">
        <v>0.18499871571635</v>
      </c>
      <c r="J57" s="11" t="n">
        <v>0.413926624313048</v>
      </c>
      <c r="K57" s="12" t="n">
        <v>0.678927844730426</v>
      </c>
      <c r="L57" s="12" t="n">
        <v>0.678927844730425</v>
      </c>
      <c r="M57" s="10" t="n">
        <v>0</v>
      </c>
      <c r="N57" s="6" t="n">
        <v>1.07958412107605</v>
      </c>
    </row>
    <row r="58" customFormat="false" ht="15" hidden="false" customHeight="true" outlineLevel="0" collapsed="false">
      <c r="A58" s="5" t="s">
        <v>88</v>
      </c>
      <c r="B58" s="5" t="s">
        <v>83</v>
      </c>
      <c r="C58" s="5" t="s">
        <v>109</v>
      </c>
      <c r="D58" s="6" t="n">
        <v>0.21506171729141</v>
      </c>
      <c r="E58" s="6" t="n">
        <v>0.0594534821586524</v>
      </c>
      <c r="F58" s="6" t="n">
        <v>0.180979771765262</v>
      </c>
      <c r="G58" s="6" t="n">
        <v>0.0879208411001515</v>
      </c>
      <c r="H58" s="6" t="n">
        <v>0.034081945526148</v>
      </c>
      <c r="I58" s="6" t="n">
        <v>0.106135718966554</v>
      </c>
      <c r="J58" s="11" t="n">
        <v>0.321116640637146</v>
      </c>
      <c r="K58" s="12" t="n">
        <v>0.748122000169322</v>
      </c>
      <c r="L58" s="12" t="n">
        <v>0.748122000169322</v>
      </c>
      <c r="M58" s="10" t="n">
        <v>0</v>
      </c>
      <c r="N58" s="6" t="n">
        <v>1.03466938978181</v>
      </c>
    </row>
    <row r="59" customFormat="false" ht="15" hidden="false" customHeight="true" outlineLevel="0" collapsed="false">
      <c r="A59" s="5" t="s">
        <v>88</v>
      </c>
      <c r="B59" s="5" t="s">
        <v>83</v>
      </c>
      <c r="C59" s="5" t="s">
        <v>115</v>
      </c>
      <c r="D59" s="6" t="n">
        <v>0.248741987350643</v>
      </c>
      <c r="E59" s="6" t="n">
        <v>0.195780584186765</v>
      </c>
      <c r="F59" s="6" t="n">
        <v>0.191676974929957</v>
      </c>
      <c r="G59" s="6" t="n">
        <v>0.183402329947534</v>
      </c>
      <c r="H59" s="6" t="n">
        <v>0.057065012420686</v>
      </c>
      <c r="I59" s="6" t="n">
        <v>0.268265636589361</v>
      </c>
      <c r="J59" s="11" t="n">
        <v>0.212718308413226</v>
      </c>
      <c r="K59" s="12" t="n">
        <v>0.831546685524479</v>
      </c>
      <c r="L59" s="12" t="n">
        <v>0.831546685524478</v>
      </c>
      <c r="M59" s="10" t="n">
        <v>0</v>
      </c>
      <c r="N59" s="6" t="n">
        <v>1.05872463840972</v>
      </c>
    </row>
    <row r="60" customFormat="false" ht="15" hidden="false" customHeight="true" outlineLevel="0" collapsed="false">
      <c r="A60" s="5" t="s">
        <v>88</v>
      </c>
      <c r="B60" s="5" t="s">
        <v>83</v>
      </c>
      <c r="C60" s="5" t="s">
        <v>114</v>
      </c>
      <c r="D60" s="6" t="n">
        <v>0.248741987350643</v>
      </c>
      <c r="E60" s="6" t="n">
        <v>0.183654967497158</v>
      </c>
      <c r="F60" s="6" t="n">
        <v>0.191676974929957</v>
      </c>
      <c r="G60" s="6" t="n">
        <v>0.201490467259661</v>
      </c>
      <c r="H60" s="6" t="n">
        <v>0.057065012420686</v>
      </c>
      <c r="I60" s="6" t="n">
        <v>0.272630804354348</v>
      </c>
      <c r="J60" s="11" t="n">
        <v>0.209312416312709</v>
      </c>
      <c r="K60" s="12" t="n">
        <v>0.834204359636906</v>
      </c>
      <c r="L60" s="12" t="n">
        <v>0.834204359636906</v>
      </c>
      <c r="M60" s="10" t="n">
        <v>0</v>
      </c>
      <c r="N60" s="6" t="n">
        <v>1.05872463840972</v>
      </c>
    </row>
    <row r="61" customFormat="false" ht="15" hidden="false" customHeight="true" outlineLevel="0" collapsed="false">
      <c r="A61" s="5" t="s">
        <v>88</v>
      </c>
      <c r="B61" s="5" t="s">
        <v>86</v>
      </c>
      <c r="C61" s="5" t="s">
        <v>108</v>
      </c>
      <c r="D61" s="6" t="n">
        <v>0.333822026461788</v>
      </c>
      <c r="E61" s="6" t="n">
        <v>0.0997370896079148</v>
      </c>
      <c r="F61" s="6" t="n">
        <v>0.221291291648163</v>
      </c>
      <c r="G61" s="6" t="n">
        <v>0.0622842259361956</v>
      </c>
      <c r="H61" s="6" t="n">
        <v>0.112530734813625</v>
      </c>
      <c r="I61" s="6" t="n">
        <v>0.117587464654734</v>
      </c>
      <c r="J61" s="11" t="n">
        <v>0.956996012662092</v>
      </c>
      <c r="K61" s="12" t="n">
        <v>0.338569267571108</v>
      </c>
      <c r="L61" s="12" t="n">
        <v>0.338569267571108</v>
      </c>
      <c r="M61" s="10" t="n">
        <v>0</v>
      </c>
      <c r="N61" s="6" t="n">
        <v>1.11910665191859</v>
      </c>
    </row>
    <row r="62" customFormat="false" ht="15" hidden="false" customHeight="true" outlineLevel="0" collapsed="false">
      <c r="A62" s="5" t="s">
        <v>88</v>
      </c>
      <c r="B62" s="5" t="s">
        <v>86</v>
      </c>
      <c r="C62" s="5" t="s">
        <v>121</v>
      </c>
      <c r="D62" s="6" t="n">
        <v>0.261550149042891</v>
      </c>
      <c r="E62" s="6" t="n">
        <v>0.0662126469486195</v>
      </c>
      <c r="F62" s="6" t="n">
        <v>0.214396462305997</v>
      </c>
      <c r="G62" s="6" t="n">
        <v>0.0415732122016588</v>
      </c>
      <c r="H62" s="6" t="n">
        <v>0.047153686736894</v>
      </c>
      <c r="I62" s="6" t="n">
        <v>0.0781821372738472</v>
      </c>
      <c r="J62" s="11" t="n">
        <v>0.603126089681197</v>
      </c>
      <c r="K62" s="12" t="n">
        <v>0.546424811532206</v>
      </c>
      <c r="L62" s="12" t="n">
        <v>0.546424811532206</v>
      </c>
      <c r="M62" s="10" t="n">
        <v>0</v>
      </c>
      <c r="N62" s="6" t="n">
        <v>1.04828310390985</v>
      </c>
    </row>
    <row r="63" customFormat="false" ht="15" hidden="false" customHeight="true" outlineLevel="0" collapsed="false">
      <c r="A63" s="5" t="s">
        <v>88</v>
      </c>
      <c r="B63" s="5" t="s">
        <v>86</v>
      </c>
      <c r="C63" s="5" t="s">
        <v>113</v>
      </c>
      <c r="D63" s="6" t="n">
        <v>0.223566713089302</v>
      </c>
      <c r="E63" s="6" t="n">
        <v>0.0613076653496199</v>
      </c>
      <c r="F63" s="6" t="n">
        <v>0.238544592256357</v>
      </c>
      <c r="G63" s="6" t="n">
        <v>0.0398249167027274</v>
      </c>
      <c r="H63" s="6" t="n">
        <v>-0.014977879167055</v>
      </c>
      <c r="I63" s="6" t="n">
        <v>0.0731071393298914</v>
      </c>
      <c r="J63" s="11" t="n">
        <v>-0.204875738598774</v>
      </c>
      <c r="K63" s="12" t="n">
        <v>0.83766921093958</v>
      </c>
      <c r="L63" s="12" t="n">
        <v>0.83766921093958</v>
      </c>
      <c r="M63" s="10" t="n">
        <v>0</v>
      </c>
      <c r="N63" s="6" t="n">
        <v>0.985133731340736</v>
      </c>
    </row>
    <row r="64" customFormat="false" ht="15" hidden="false" customHeight="true" outlineLevel="0" collapsed="false">
      <c r="A64" s="5" t="s">
        <v>88</v>
      </c>
      <c r="B64" s="5" t="s">
        <v>86</v>
      </c>
      <c r="C64" s="5" t="s">
        <v>107</v>
      </c>
      <c r="D64" s="6" t="n">
        <v>0.189277626867675</v>
      </c>
      <c r="E64" s="6" t="n">
        <v>0.0352534678216488</v>
      </c>
      <c r="F64" s="6" t="n">
        <v>0.181766662591711</v>
      </c>
      <c r="G64" s="6" t="n">
        <v>0.020213696962643</v>
      </c>
      <c r="H64" s="6" t="n">
        <v>0.00751096427596398</v>
      </c>
      <c r="I64" s="6" t="n">
        <v>0.0406374278018379</v>
      </c>
      <c r="J64" s="11" t="n">
        <v>0.18482873258096</v>
      </c>
      <c r="K64" s="12" t="n">
        <v>0.853363370773892</v>
      </c>
      <c r="L64" s="12" t="n">
        <v>0.853363370773892</v>
      </c>
      <c r="M64" s="10" t="n">
        <v>0</v>
      </c>
      <c r="N64" s="6" t="n">
        <v>1.00753924232227</v>
      </c>
    </row>
    <row r="65" customFormat="false" ht="15" hidden="false" customHeight="true" outlineLevel="0" collapsed="false">
      <c r="A65" s="5" t="s">
        <v>88</v>
      </c>
      <c r="B65" s="5" t="s">
        <v>86</v>
      </c>
      <c r="C65" s="5" t="s">
        <v>103</v>
      </c>
      <c r="D65" s="6" t="n">
        <v>0.187434525933196</v>
      </c>
      <c r="E65" s="6" t="n">
        <v>0.0349244912858588</v>
      </c>
      <c r="F65" s="6" t="n">
        <v>0.181289525779766</v>
      </c>
      <c r="G65" s="6" t="n">
        <v>0.0199964871710438</v>
      </c>
      <c r="H65" s="6" t="n">
        <v>0.00614500015343</v>
      </c>
      <c r="I65" s="6" t="n">
        <v>0.0402440006803219</v>
      </c>
      <c r="J65" s="11" t="n">
        <v>0.152693570458931</v>
      </c>
      <c r="K65" s="12" t="n">
        <v>0.878639931337043</v>
      </c>
      <c r="L65" s="12" t="n">
        <v>0.878639931337043</v>
      </c>
      <c r="M65" s="10" t="n">
        <v>0</v>
      </c>
      <c r="N65" s="6" t="n">
        <v>1.00616391939994</v>
      </c>
    </row>
    <row r="66" customFormat="false" ht="15" hidden="false" customHeight="true" outlineLevel="0" collapsed="false">
      <c r="A66" s="5" t="s">
        <v>88</v>
      </c>
      <c r="B66" s="5" t="s">
        <v>86</v>
      </c>
      <c r="C66" s="5" t="s">
        <v>111</v>
      </c>
      <c r="D66" s="6" t="n">
        <v>0.180062190476249</v>
      </c>
      <c r="E66" s="6" t="n">
        <v>0.0607886178541685</v>
      </c>
      <c r="F66" s="6" t="n">
        <v>0.169696969696956</v>
      </c>
      <c r="G66" s="6" t="n">
        <v>0.0315579952488528</v>
      </c>
      <c r="H66" s="6" t="n">
        <v>0.010365220779293</v>
      </c>
      <c r="I66" s="6" t="n">
        <v>0.0684920661445306</v>
      </c>
      <c r="J66" s="11" t="n">
        <v>0.15133461965391</v>
      </c>
      <c r="K66" s="12" t="n">
        <v>0.8797117612264</v>
      </c>
      <c r="L66" s="12" t="n">
        <v>0.8797117612264</v>
      </c>
      <c r="M66" s="10" t="n">
        <v>0</v>
      </c>
      <c r="N66" s="6" t="n">
        <v>1.0104191257649</v>
      </c>
    </row>
    <row r="67" customFormat="false" ht="15" hidden="false" customHeight="true" outlineLevel="0" collapsed="false">
      <c r="A67" s="5" t="s">
        <v>88</v>
      </c>
      <c r="B67" s="5" t="s">
        <v>86</v>
      </c>
      <c r="C67" s="5" t="s">
        <v>114</v>
      </c>
      <c r="D67" s="6" t="n">
        <v>0.248741987350643</v>
      </c>
      <c r="E67" s="6" t="n">
        <v>0.183654967497158</v>
      </c>
      <c r="F67" s="6" t="n">
        <v>0.219494168801067</v>
      </c>
      <c r="G67" s="6" t="n">
        <v>0.114509004567091</v>
      </c>
      <c r="H67" s="6" t="n">
        <v>0.029247818549576</v>
      </c>
      <c r="I67" s="6" t="n">
        <v>0.216428877956081</v>
      </c>
      <c r="J67" s="11" t="n">
        <v>0.135138244146473</v>
      </c>
      <c r="K67" s="12" t="n">
        <v>0.892502573050576</v>
      </c>
      <c r="L67" s="12" t="n">
        <v>0.892502573050576</v>
      </c>
      <c r="M67" s="10" t="n">
        <v>0</v>
      </c>
      <c r="N67" s="6" t="n">
        <v>1.0296797365982</v>
      </c>
    </row>
    <row r="68" customFormat="false" ht="15" hidden="false" customHeight="true" outlineLevel="0" collapsed="false">
      <c r="A68" s="5" t="s">
        <v>88</v>
      </c>
      <c r="B68" s="5" t="s">
        <v>86</v>
      </c>
      <c r="C68" s="5" t="s">
        <v>100</v>
      </c>
      <c r="D68" s="6" t="n">
        <v>0.187434525933196</v>
      </c>
      <c r="E68" s="6" t="n">
        <v>0.0395378980603419</v>
      </c>
      <c r="F68" s="6" t="n">
        <v>0.181289525779766</v>
      </c>
      <c r="G68" s="6" t="n">
        <v>0.0244872772825024</v>
      </c>
      <c r="H68" s="6" t="n">
        <v>0.00614500015343</v>
      </c>
      <c r="I68" s="6" t="n">
        <v>0.0465066891074837</v>
      </c>
      <c r="J68" s="11" t="n">
        <v>0.132131533578493</v>
      </c>
      <c r="K68" s="12" t="n">
        <v>0.894880254381874</v>
      </c>
      <c r="L68" s="12" t="n">
        <v>0.894880254381874</v>
      </c>
      <c r="M68" s="10" t="n">
        <v>0</v>
      </c>
      <c r="N68" s="6" t="n">
        <v>1.00616391939994</v>
      </c>
    </row>
    <row r="69" customFormat="false" ht="15" hidden="false" customHeight="true" outlineLevel="0" collapsed="false">
      <c r="A69" s="5" t="s">
        <v>88</v>
      </c>
      <c r="B69" s="5" t="s">
        <v>86</v>
      </c>
      <c r="C69" s="5" t="s">
        <v>101</v>
      </c>
      <c r="D69" s="6" t="n">
        <v>0.187434525933196</v>
      </c>
      <c r="E69" s="6" t="n">
        <v>0.0395378980603419</v>
      </c>
      <c r="F69" s="6" t="n">
        <v>0.181289525779766</v>
      </c>
      <c r="G69" s="6" t="n">
        <v>0.0244872772825024</v>
      </c>
      <c r="H69" s="6" t="n">
        <v>0.00614500015343</v>
      </c>
      <c r="I69" s="6" t="n">
        <v>0.0465066891074837</v>
      </c>
      <c r="J69" s="11" t="n">
        <v>0.132131533578493</v>
      </c>
      <c r="K69" s="12" t="n">
        <v>0.894880254381874</v>
      </c>
      <c r="L69" s="12" t="n">
        <v>0.894880254381874</v>
      </c>
      <c r="M69" s="10" t="n">
        <v>0</v>
      </c>
      <c r="N69" s="6" t="n">
        <v>1.00616391939994</v>
      </c>
    </row>
    <row r="70" customFormat="false" ht="15" hidden="false" customHeight="true" outlineLevel="0" collapsed="false">
      <c r="A70" s="5" t="s">
        <v>88</v>
      </c>
      <c r="B70" s="5" t="s">
        <v>86</v>
      </c>
      <c r="C70" s="5" t="s">
        <v>105</v>
      </c>
      <c r="D70" s="6" t="n">
        <v>0.18741327368719</v>
      </c>
      <c r="E70" s="6" t="n">
        <v>0.0395429820886544</v>
      </c>
      <c r="F70" s="6" t="n">
        <v>0.181282845521081</v>
      </c>
      <c r="G70" s="6" t="n">
        <v>0.0244898686012397</v>
      </c>
      <c r="H70" s="6" t="n">
        <v>0.00613042816610898</v>
      </c>
      <c r="I70" s="6" t="n">
        <v>0.0465123757356</v>
      </c>
      <c r="J70" s="11" t="n">
        <v>0.131802086415827</v>
      </c>
      <c r="K70" s="12" t="n">
        <v>0.895140836230084</v>
      </c>
      <c r="L70" s="12" t="n">
        <v>0.895140836230084</v>
      </c>
      <c r="M70" s="10" t="n">
        <v>0</v>
      </c>
      <c r="N70" s="6" t="n">
        <v>1.00614925769889</v>
      </c>
    </row>
    <row r="71" customFormat="false" ht="15" hidden="false" customHeight="true" outlineLevel="0" collapsed="false">
      <c r="A71" s="5" t="s">
        <v>88</v>
      </c>
      <c r="B71" s="5" t="s">
        <v>86</v>
      </c>
      <c r="C71" s="5" t="s">
        <v>115</v>
      </c>
      <c r="D71" s="6" t="n">
        <v>0.248741987350643</v>
      </c>
      <c r="E71" s="6" t="n">
        <v>0.195780584186765</v>
      </c>
      <c r="F71" s="6" t="n">
        <v>0.219494168801067</v>
      </c>
      <c r="G71" s="6" t="n">
        <v>0.109237082001675</v>
      </c>
      <c r="H71" s="6" t="n">
        <v>0.029247818549576</v>
      </c>
      <c r="I71" s="6" t="n">
        <v>0.224193615495071</v>
      </c>
      <c r="J71" s="11" t="n">
        <v>0.130457856638737</v>
      </c>
      <c r="K71" s="12" t="n">
        <v>0.896204194661677</v>
      </c>
      <c r="L71" s="12" t="n">
        <v>0.896204194661677</v>
      </c>
      <c r="M71" s="10" t="n">
        <v>0</v>
      </c>
      <c r="N71" s="6" t="n">
        <v>1.0296797365982</v>
      </c>
    </row>
    <row r="72" customFormat="false" ht="15" hidden="false" customHeight="true" outlineLevel="0" collapsed="false">
      <c r="A72" s="5" t="s">
        <v>88</v>
      </c>
      <c r="B72" s="5" t="s">
        <v>86</v>
      </c>
      <c r="C72" s="5" t="s">
        <v>109</v>
      </c>
      <c r="D72" s="6" t="n">
        <v>0.21506171729141</v>
      </c>
      <c r="E72" s="6" t="n">
        <v>0.0594534821586524</v>
      </c>
      <c r="F72" s="6" t="n">
        <v>0.207201260312777</v>
      </c>
      <c r="G72" s="6" t="n">
        <v>0.0482094428254783</v>
      </c>
      <c r="H72" s="6" t="n">
        <v>0.007860456978633</v>
      </c>
      <c r="I72" s="6" t="n">
        <v>0.07654323561447</v>
      </c>
      <c r="J72" s="11" t="n">
        <v>0.102693032448017</v>
      </c>
      <c r="K72" s="12" t="n">
        <v>0.918206603709323</v>
      </c>
      <c r="L72" s="12" t="n">
        <v>0.918206603709323</v>
      </c>
      <c r="M72" s="10" t="n">
        <v>0</v>
      </c>
      <c r="N72" s="6" t="n">
        <v>1.0078914314753</v>
      </c>
    </row>
    <row r="73" customFormat="false" ht="15" hidden="false" customHeight="true" outlineLevel="0" collapsed="false">
      <c r="A73" s="5" t="s">
        <v>88</v>
      </c>
      <c r="B73" s="5" t="s">
        <v>86</v>
      </c>
      <c r="C73" s="5" t="s">
        <v>120</v>
      </c>
      <c r="D73" s="6" t="n">
        <v>0.180894862161888</v>
      </c>
      <c r="E73" s="6" t="n">
        <v>0.0412568286484899</v>
      </c>
      <c r="F73" s="6" t="n">
        <v>0.184627652862245</v>
      </c>
      <c r="G73" s="6" t="n">
        <v>0.0248962073812427</v>
      </c>
      <c r="H73" s="6" t="n">
        <v>-0.00373279070035701</v>
      </c>
      <c r="I73" s="6" t="n">
        <v>0.0481865858107908</v>
      </c>
      <c r="J73" s="11" t="n">
        <v>-0.077465349278203</v>
      </c>
      <c r="K73" s="12" t="n">
        <v>0.938253355684467</v>
      </c>
      <c r="L73" s="12" t="n">
        <v>0.938253355684468</v>
      </c>
      <c r="M73" s="10" t="n">
        <v>0</v>
      </c>
      <c r="N73" s="6" t="n">
        <v>0.996274167502319</v>
      </c>
    </row>
    <row r="74" customFormat="false" ht="15" hidden="false" customHeight="true" outlineLevel="0" collapsed="false">
      <c r="A74" s="5" t="s">
        <v>88</v>
      </c>
      <c r="B74" s="5" t="s">
        <v>86</v>
      </c>
      <c r="C74" s="5" t="s">
        <v>112</v>
      </c>
      <c r="D74" s="6" t="n">
        <v>0.228991300015454</v>
      </c>
      <c r="E74" s="6" t="n">
        <v>0.0610133802242448</v>
      </c>
      <c r="F74" s="6" t="n">
        <v>0.22529901034413</v>
      </c>
      <c r="G74" s="6" t="n">
        <v>0.0378466957664543</v>
      </c>
      <c r="H74" s="6" t="n">
        <v>0.00369228967132401</v>
      </c>
      <c r="I74" s="6" t="n">
        <v>0.0717983631208039</v>
      </c>
      <c r="J74" s="11" t="n">
        <v>0.0514258196264387</v>
      </c>
      <c r="K74" s="12" t="n">
        <v>0.95898621090281</v>
      </c>
      <c r="L74" s="12" t="n">
        <v>0.95898621090281</v>
      </c>
      <c r="M74" s="10" t="n">
        <v>0</v>
      </c>
      <c r="N74" s="6" t="n">
        <v>1.00369911457008</v>
      </c>
    </row>
    <row r="75" customFormat="false" ht="15" hidden="false" customHeight="true" outlineLevel="0" collapsed="false">
      <c r="A75" s="5" t="s">
        <v>88</v>
      </c>
      <c r="B75" s="5" t="s">
        <v>86</v>
      </c>
      <c r="C75" s="5" t="s">
        <v>118</v>
      </c>
      <c r="D75" s="6" t="n">
        <v>0.248741987350643</v>
      </c>
      <c r="E75" s="6" t="n">
        <v>0.140199805950924</v>
      </c>
      <c r="F75" s="6" t="n">
        <v>0.241726834498479</v>
      </c>
      <c r="G75" s="6" t="n">
        <v>0.0586085658760335</v>
      </c>
      <c r="H75" s="6" t="n">
        <v>0.007015152852164</v>
      </c>
      <c r="I75" s="6" t="n">
        <v>0.151957064931915</v>
      </c>
      <c r="J75" s="11" t="n">
        <v>0.0461653616125528</v>
      </c>
      <c r="K75" s="12" t="n">
        <v>0.963178450453425</v>
      </c>
      <c r="L75" s="12" t="n">
        <v>0.963178450453425</v>
      </c>
      <c r="M75" s="10" t="n">
        <v>0</v>
      </c>
      <c r="N75" s="6" t="n">
        <v>1.0070398166767</v>
      </c>
    </row>
    <row r="76" customFormat="false" ht="15" hidden="false" customHeight="true" outlineLevel="0" collapsed="false">
      <c r="A76" s="5" t="s">
        <v>88</v>
      </c>
      <c r="B76" s="5" t="s">
        <v>86</v>
      </c>
      <c r="C76" s="5" t="s">
        <v>117</v>
      </c>
      <c r="D76" s="6" t="n">
        <v>0.248741987350643</v>
      </c>
      <c r="E76" s="6" t="n">
        <v>0.146636728502048</v>
      </c>
      <c r="F76" s="6" t="n">
        <v>0.241726834498479</v>
      </c>
      <c r="G76" s="6" t="n">
        <v>0.0604143248431416</v>
      </c>
      <c r="H76" s="6" t="n">
        <v>0.007015152852164</v>
      </c>
      <c r="I76" s="6" t="n">
        <v>0.158594516904072</v>
      </c>
      <c r="J76" s="11" t="n">
        <v>0.0442332622155356</v>
      </c>
      <c r="K76" s="12" t="n">
        <v>0.964718468577799</v>
      </c>
      <c r="L76" s="12" t="n">
        <v>0.964718468577799</v>
      </c>
      <c r="M76" s="10" t="n">
        <v>0</v>
      </c>
      <c r="N76" s="6" t="n">
        <v>1.0070398166767</v>
      </c>
    </row>
    <row r="78" customFormat="false" ht="15" hidden="false" customHeight="true" outlineLevel="0" collapsed="false">
      <c r="A78" s="8" t="s">
        <v>831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20"/>
    <col collapsed="false" customWidth="true" hidden="false" outlineLevel="0" max="3" min="3" style="1" width="9"/>
    <col collapsed="false" customWidth="true" hidden="false" outlineLevel="0" max="4" min="4" style="1" width="12"/>
    <col collapsed="false" customWidth="true" hidden="false" outlineLevel="0" max="5" min="5" style="1" width="34"/>
    <col collapsed="false" customWidth="true" hidden="false" outlineLevel="0" max="6" min="6" style="1" width="16"/>
  </cols>
  <sheetData>
    <row r="1" customFormat="false" ht="31.5" hidden="false" customHeight="true" outlineLevel="0" collapsed="false">
      <c r="A1" s="4" t="s">
        <v>46</v>
      </c>
      <c r="B1" s="4" t="s">
        <v>47</v>
      </c>
      <c r="C1" s="4" t="s">
        <v>832</v>
      </c>
      <c r="D1" s="4" t="s">
        <v>833</v>
      </c>
      <c r="E1" s="4" t="s">
        <v>834</v>
      </c>
      <c r="F1" s="4" t="s">
        <v>835</v>
      </c>
    </row>
    <row r="2" customFormat="false" ht="15" hidden="false" customHeight="true" outlineLevel="0" collapsed="false">
      <c r="A2" s="5" t="s">
        <v>836</v>
      </c>
      <c r="B2" s="5" t="s">
        <v>837</v>
      </c>
      <c r="C2" s="5" t="n">
        <v>24622</v>
      </c>
      <c r="D2" s="5" t="n">
        <v>0.0331</v>
      </c>
      <c r="E2" s="5" t="s">
        <v>838</v>
      </c>
      <c r="F2" s="5" t="n">
        <v>0.66</v>
      </c>
    </row>
    <row r="3" customFormat="false" ht="15" hidden="false" customHeight="true" outlineLevel="0" collapsed="false">
      <c r="A3" s="5" t="s">
        <v>836</v>
      </c>
      <c r="B3" s="5" t="s">
        <v>837</v>
      </c>
      <c r="C3" s="5" t="n">
        <v>24622</v>
      </c>
      <c r="D3" s="5" t="n">
        <v>0.0331</v>
      </c>
      <c r="E3" s="5" t="s">
        <v>839</v>
      </c>
      <c r="F3" s="5" t="n">
        <v>0.99</v>
      </c>
    </row>
    <row r="4" customFormat="false" ht="15" hidden="false" customHeight="true" outlineLevel="0" collapsed="false">
      <c r="A4" s="5" t="s">
        <v>836</v>
      </c>
      <c r="B4" s="5" t="s">
        <v>837</v>
      </c>
      <c r="C4" s="5" t="n">
        <v>24622</v>
      </c>
      <c r="D4" s="5" t="n">
        <v>0.0331</v>
      </c>
      <c r="E4" s="5" t="s">
        <v>840</v>
      </c>
      <c r="F4" s="5" t="n">
        <v>1</v>
      </c>
    </row>
    <row r="5" customFormat="false" ht="15" hidden="false" customHeight="true" outlineLevel="0" collapsed="false">
      <c r="A5" s="5" t="s">
        <v>836</v>
      </c>
      <c r="B5" s="5" t="s">
        <v>837</v>
      </c>
      <c r="C5" s="5" t="n">
        <v>24622</v>
      </c>
      <c r="D5" s="5" t="n">
        <v>0.0331</v>
      </c>
      <c r="E5" s="5" t="s">
        <v>841</v>
      </c>
      <c r="F5" s="5" t="n">
        <v>1</v>
      </c>
    </row>
    <row r="6" customFormat="false" ht="15" hidden="false" customHeight="true" outlineLevel="0" collapsed="false">
      <c r="A6" s="5" t="s">
        <v>836</v>
      </c>
      <c r="B6" s="5" t="s">
        <v>837</v>
      </c>
      <c r="C6" s="5" t="n">
        <v>24622</v>
      </c>
      <c r="D6" s="5" t="n">
        <v>0.0331</v>
      </c>
      <c r="E6" s="5" t="s">
        <v>842</v>
      </c>
      <c r="F6" s="5" t="n">
        <v>1.059</v>
      </c>
    </row>
    <row r="7" customFormat="false" ht="15" hidden="false" customHeight="true" outlineLevel="0" collapsed="false">
      <c r="A7" s="5" t="s">
        <v>836</v>
      </c>
      <c r="B7" s="5" t="s">
        <v>843</v>
      </c>
      <c r="C7" s="5" t="n">
        <v>5045</v>
      </c>
      <c r="D7" s="5" t="n">
        <v>0.0353</v>
      </c>
      <c r="E7" s="5" t="s">
        <v>838</v>
      </c>
      <c r="F7" s="5" t="n">
        <v>0.22</v>
      </c>
    </row>
    <row r="8" customFormat="false" ht="15" hidden="false" customHeight="true" outlineLevel="0" collapsed="false">
      <c r="A8" s="5" t="s">
        <v>836</v>
      </c>
      <c r="B8" s="5" t="s">
        <v>843</v>
      </c>
      <c r="C8" s="5" t="n">
        <v>5045</v>
      </c>
      <c r="D8" s="5" t="n">
        <v>0.0353</v>
      </c>
      <c r="E8" s="5" t="s">
        <v>839</v>
      </c>
      <c r="F8" s="5" t="n">
        <v>0.54</v>
      </c>
    </row>
    <row r="9" customFormat="false" ht="15" hidden="false" customHeight="true" outlineLevel="0" collapsed="false">
      <c r="A9" s="5" t="s">
        <v>836</v>
      </c>
      <c r="B9" s="5" t="s">
        <v>843</v>
      </c>
      <c r="C9" s="5" t="n">
        <v>5045</v>
      </c>
      <c r="D9" s="5" t="n">
        <v>0.0353</v>
      </c>
      <c r="E9" s="5" t="s">
        <v>840</v>
      </c>
      <c r="F9" s="5" t="n">
        <v>0.88</v>
      </c>
    </row>
    <row r="10" customFormat="false" ht="15" hidden="false" customHeight="true" outlineLevel="0" collapsed="false">
      <c r="A10" s="5" t="s">
        <v>836</v>
      </c>
      <c r="B10" s="5" t="s">
        <v>843</v>
      </c>
      <c r="C10" s="5" t="n">
        <v>5045</v>
      </c>
      <c r="D10" s="5" t="n">
        <v>0.0353</v>
      </c>
      <c r="E10" s="5" t="s">
        <v>841</v>
      </c>
      <c r="F10" s="5" t="n">
        <v>0.99</v>
      </c>
    </row>
    <row r="11" customFormat="false" ht="15" hidden="false" customHeight="true" outlineLevel="0" collapsed="false">
      <c r="A11" s="5" t="s">
        <v>836</v>
      </c>
      <c r="B11" s="5" t="s">
        <v>843</v>
      </c>
      <c r="C11" s="5" t="n">
        <v>5045</v>
      </c>
      <c r="D11" s="5" t="n">
        <v>0.0353</v>
      </c>
      <c r="E11" s="5" t="s">
        <v>842</v>
      </c>
      <c r="F11" s="5" t="n">
        <v>1.124</v>
      </c>
    </row>
    <row r="12" customFormat="false" ht="15" hidden="false" customHeight="true" outlineLevel="0" collapsed="false">
      <c r="A12" s="5" t="s">
        <v>836</v>
      </c>
      <c r="B12" s="5" t="s">
        <v>844</v>
      </c>
      <c r="C12" s="5" t="n">
        <v>26758</v>
      </c>
      <c r="D12" s="5" t="n">
        <v>0.0351</v>
      </c>
      <c r="E12" s="5" t="s">
        <v>838</v>
      </c>
      <c r="F12" s="5" t="n">
        <v>0.72</v>
      </c>
    </row>
    <row r="13" customFormat="false" ht="15" hidden="false" customHeight="true" outlineLevel="0" collapsed="false">
      <c r="A13" s="5" t="s">
        <v>836</v>
      </c>
      <c r="B13" s="5" t="s">
        <v>844</v>
      </c>
      <c r="C13" s="5" t="n">
        <v>26758</v>
      </c>
      <c r="D13" s="5" t="n">
        <v>0.0351</v>
      </c>
      <c r="E13" s="5" t="s">
        <v>839</v>
      </c>
      <c r="F13" s="5" t="n">
        <v>0.99</v>
      </c>
    </row>
    <row r="14" customFormat="false" ht="15" hidden="false" customHeight="true" outlineLevel="0" collapsed="false">
      <c r="A14" s="5" t="s">
        <v>836</v>
      </c>
      <c r="B14" s="5" t="s">
        <v>844</v>
      </c>
      <c r="C14" s="5" t="n">
        <v>26758</v>
      </c>
      <c r="D14" s="5" t="n">
        <v>0.0351</v>
      </c>
      <c r="E14" s="5" t="s">
        <v>840</v>
      </c>
      <c r="F14" s="5" t="n">
        <v>1</v>
      </c>
    </row>
    <row r="15" customFormat="false" ht="15" hidden="false" customHeight="true" outlineLevel="0" collapsed="false">
      <c r="A15" s="5" t="s">
        <v>836</v>
      </c>
      <c r="B15" s="5" t="s">
        <v>844</v>
      </c>
      <c r="C15" s="5" t="n">
        <v>26758</v>
      </c>
      <c r="D15" s="5" t="n">
        <v>0.0351</v>
      </c>
      <c r="E15" s="5" t="s">
        <v>841</v>
      </c>
      <c r="F15" s="5" t="n">
        <v>1</v>
      </c>
    </row>
    <row r="16" customFormat="false" ht="15" hidden="false" customHeight="true" outlineLevel="0" collapsed="false">
      <c r="A16" s="5" t="s">
        <v>836</v>
      </c>
      <c r="B16" s="5" t="s">
        <v>844</v>
      </c>
      <c r="C16" s="5" t="n">
        <v>26758</v>
      </c>
      <c r="D16" s="5" t="n">
        <v>0.0351</v>
      </c>
      <c r="E16" s="5" t="s">
        <v>842</v>
      </c>
      <c r="F16" s="5" t="n">
        <v>1.055</v>
      </c>
    </row>
    <row r="17" customFormat="false" ht="15" hidden="false" customHeight="true" outlineLevel="0" collapsed="false">
      <c r="A17" s="5" t="s">
        <v>836</v>
      </c>
      <c r="B17" s="5" t="s">
        <v>845</v>
      </c>
      <c r="C17" s="5" t="n">
        <v>39519</v>
      </c>
      <c r="D17" s="5" t="n">
        <v>0.0353</v>
      </c>
      <c r="E17" s="5" t="s">
        <v>838</v>
      </c>
      <c r="F17" s="5" t="n">
        <v>0.89</v>
      </c>
    </row>
    <row r="18" customFormat="false" ht="15" hidden="false" customHeight="true" outlineLevel="0" collapsed="false">
      <c r="A18" s="5" t="s">
        <v>836</v>
      </c>
      <c r="B18" s="5" t="s">
        <v>845</v>
      </c>
      <c r="C18" s="5" t="n">
        <v>39519</v>
      </c>
      <c r="D18" s="5" t="n">
        <v>0.0353</v>
      </c>
      <c r="E18" s="5" t="s">
        <v>839</v>
      </c>
      <c r="F18" s="5" t="n">
        <v>1</v>
      </c>
    </row>
    <row r="19" customFormat="false" ht="15" hidden="false" customHeight="true" outlineLevel="0" collapsed="false">
      <c r="A19" s="5" t="s">
        <v>836</v>
      </c>
      <c r="B19" s="5" t="s">
        <v>845</v>
      </c>
      <c r="C19" s="5" t="n">
        <v>39519</v>
      </c>
      <c r="D19" s="5" t="n">
        <v>0.0353</v>
      </c>
      <c r="E19" s="5" t="s">
        <v>840</v>
      </c>
      <c r="F19" s="5" t="n">
        <v>1</v>
      </c>
    </row>
    <row r="20" customFormat="false" ht="15" hidden="false" customHeight="true" outlineLevel="0" collapsed="false">
      <c r="A20" s="5" t="s">
        <v>836</v>
      </c>
      <c r="B20" s="5" t="s">
        <v>845</v>
      </c>
      <c r="C20" s="5" t="n">
        <v>39519</v>
      </c>
      <c r="D20" s="5" t="n">
        <v>0.0353</v>
      </c>
      <c r="E20" s="5" t="s">
        <v>841</v>
      </c>
      <c r="F20" s="5" t="n">
        <v>1</v>
      </c>
    </row>
    <row r="21" customFormat="false" ht="15" hidden="false" customHeight="true" outlineLevel="0" collapsed="false">
      <c r="A21" s="5" t="s">
        <v>836</v>
      </c>
      <c r="B21" s="5" t="s">
        <v>845</v>
      </c>
      <c r="C21" s="5" t="n">
        <v>39519</v>
      </c>
      <c r="D21" s="5" t="n">
        <v>0.0353</v>
      </c>
      <c r="E21" s="5" t="s">
        <v>842</v>
      </c>
      <c r="F21" s="5" t="n">
        <v>1.044</v>
      </c>
    </row>
    <row r="22" customFormat="false" ht="15" hidden="false" customHeight="true" outlineLevel="0" collapsed="false">
      <c r="A22" s="5" t="s">
        <v>88</v>
      </c>
      <c r="B22" s="5" t="s">
        <v>837</v>
      </c>
      <c r="C22" s="5" t="n">
        <v>24622</v>
      </c>
      <c r="D22" s="5" t="n">
        <v>0.0459</v>
      </c>
      <c r="E22" s="5" t="s">
        <v>846</v>
      </c>
      <c r="F22" s="5" t="n">
        <v>0.34</v>
      </c>
    </row>
    <row r="23" customFormat="false" ht="15" hidden="false" customHeight="true" outlineLevel="0" collapsed="false">
      <c r="A23" s="5" t="s">
        <v>88</v>
      </c>
      <c r="B23" s="5" t="s">
        <v>837</v>
      </c>
      <c r="C23" s="5" t="n">
        <v>24622</v>
      </c>
      <c r="D23" s="5" t="n">
        <v>0.0459</v>
      </c>
      <c r="E23" s="5" t="s">
        <v>847</v>
      </c>
      <c r="F23" s="5" t="n">
        <v>0.97</v>
      </c>
    </row>
    <row r="24" customFormat="false" ht="15" hidden="false" customHeight="true" outlineLevel="0" collapsed="false">
      <c r="A24" s="5" t="s">
        <v>88</v>
      </c>
      <c r="B24" s="5" t="s">
        <v>837</v>
      </c>
      <c r="C24" s="5" t="n">
        <v>24622</v>
      </c>
      <c r="D24" s="5" t="n">
        <v>0.0459</v>
      </c>
      <c r="E24" s="5" t="s">
        <v>848</v>
      </c>
      <c r="F24" s="5" t="n">
        <v>1</v>
      </c>
    </row>
    <row r="25" customFormat="false" ht="15" hidden="false" customHeight="true" outlineLevel="0" collapsed="false">
      <c r="A25" s="5" t="s">
        <v>88</v>
      </c>
      <c r="B25" s="5" t="s">
        <v>837</v>
      </c>
      <c r="C25" s="5" t="n">
        <v>24622</v>
      </c>
      <c r="D25" s="5" t="n">
        <v>0.0459</v>
      </c>
      <c r="E25" s="5" t="s">
        <v>849</v>
      </c>
      <c r="F25" s="5" t="n">
        <v>1</v>
      </c>
    </row>
    <row r="26" customFormat="false" ht="15" hidden="false" customHeight="true" outlineLevel="0" collapsed="false">
      <c r="A26" s="5" t="s">
        <v>88</v>
      </c>
      <c r="B26" s="5" t="s">
        <v>837</v>
      </c>
      <c r="C26" s="5" t="n">
        <v>24622</v>
      </c>
      <c r="D26" s="5" t="n">
        <v>0.0459</v>
      </c>
      <c r="E26" s="5" t="s">
        <v>842</v>
      </c>
      <c r="F26" s="5" t="n">
        <v>1.093</v>
      </c>
    </row>
    <row r="27" customFormat="false" ht="15" hidden="false" customHeight="true" outlineLevel="0" collapsed="false">
      <c r="A27" s="5" t="s">
        <v>88</v>
      </c>
      <c r="B27" s="5" t="s">
        <v>843</v>
      </c>
      <c r="C27" s="5" t="n">
        <v>5045</v>
      </c>
      <c r="D27" s="5" t="n">
        <v>0.0479</v>
      </c>
      <c r="E27" s="5" t="s">
        <v>846</v>
      </c>
      <c r="F27" s="5" t="n">
        <v>0.11</v>
      </c>
    </row>
    <row r="28" customFormat="false" ht="15" hidden="false" customHeight="true" outlineLevel="0" collapsed="false">
      <c r="A28" s="5" t="s">
        <v>88</v>
      </c>
      <c r="B28" s="5" t="s">
        <v>843</v>
      </c>
      <c r="C28" s="5" t="n">
        <v>5045</v>
      </c>
      <c r="D28" s="5" t="n">
        <v>0.0479</v>
      </c>
      <c r="E28" s="5" t="s">
        <v>847</v>
      </c>
      <c r="F28" s="5" t="n">
        <v>0.47</v>
      </c>
    </row>
    <row r="29" customFormat="false" ht="15" hidden="false" customHeight="true" outlineLevel="0" collapsed="false">
      <c r="A29" s="5" t="s">
        <v>88</v>
      </c>
      <c r="B29" s="5" t="s">
        <v>843</v>
      </c>
      <c r="C29" s="5" t="n">
        <v>5045</v>
      </c>
      <c r="D29" s="5" t="n">
        <v>0.0479</v>
      </c>
      <c r="E29" s="5" t="s">
        <v>848</v>
      </c>
      <c r="F29" s="5" t="n">
        <v>0.84</v>
      </c>
    </row>
    <row r="30" customFormat="false" ht="15" hidden="false" customHeight="true" outlineLevel="0" collapsed="false">
      <c r="A30" s="5" t="s">
        <v>88</v>
      </c>
      <c r="B30" s="5" t="s">
        <v>843</v>
      </c>
      <c r="C30" s="5" t="n">
        <v>5045</v>
      </c>
      <c r="D30" s="5" t="n">
        <v>0.0479</v>
      </c>
      <c r="E30" s="5" t="s">
        <v>849</v>
      </c>
      <c r="F30" s="5" t="n">
        <v>0.98</v>
      </c>
    </row>
    <row r="31" customFormat="false" ht="15" hidden="false" customHeight="true" outlineLevel="0" collapsed="false">
      <c r="A31" s="5" t="s">
        <v>88</v>
      </c>
      <c r="B31" s="5" t="s">
        <v>843</v>
      </c>
      <c r="C31" s="5" t="n">
        <v>5045</v>
      </c>
      <c r="D31" s="5" t="n">
        <v>0.0479</v>
      </c>
      <c r="E31" s="5" t="s">
        <v>842</v>
      </c>
      <c r="F31" s="5" t="n">
        <v>1.199</v>
      </c>
    </row>
    <row r="32" customFormat="false" ht="15" hidden="false" customHeight="true" outlineLevel="0" collapsed="false">
      <c r="A32" s="5" t="s">
        <v>88</v>
      </c>
      <c r="B32" s="5" t="s">
        <v>844</v>
      </c>
      <c r="C32" s="5" t="n">
        <v>26758</v>
      </c>
      <c r="D32" s="5" t="n">
        <v>0.0475</v>
      </c>
      <c r="E32" s="5" t="s">
        <v>846</v>
      </c>
      <c r="F32" s="5" t="n">
        <v>0.37</v>
      </c>
    </row>
    <row r="33" customFormat="false" ht="15" hidden="false" customHeight="true" outlineLevel="0" collapsed="false">
      <c r="A33" s="5" t="s">
        <v>88</v>
      </c>
      <c r="B33" s="5" t="s">
        <v>844</v>
      </c>
      <c r="C33" s="5" t="n">
        <v>26758</v>
      </c>
      <c r="D33" s="5" t="n">
        <v>0.0475</v>
      </c>
      <c r="E33" s="5" t="s">
        <v>847</v>
      </c>
      <c r="F33" s="5" t="n">
        <v>0.98</v>
      </c>
    </row>
    <row r="34" customFormat="false" ht="15" hidden="false" customHeight="true" outlineLevel="0" collapsed="false">
      <c r="A34" s="5" t="s">
        <v>88</v>
      </c>
      <c r="B34" s="5" t="s">
        <v>844</v>
      </c>
      <c r="C34" s="5" t="n">
        <v>26758</v>
      </c>
      <c r="D34" s="5" t="n">
        <v>0.0475</v>
      </c>
      <c r="E34" s="5" t="s">
        <v>848</v>
      </c>
      <c r="F34" s="5" t="n">
        <v>1</v>
      </c>
    </row>
    <row r="35" customFormat="false" ht="15" hidden="false" customHeight="true" outlineLevel="0" collapsed="false">
      <c r="A35" s="5" t="s">
        <v>88</v>
      </c>
      <c r="B35" s="5" t="s">
        <v>844</v>
      </c>
      <c r="C35" s="5" t="n">
        <v>26758</v>
      </c>
      <c r="D35" s="5" t="n">
        <v>0.0475</v>
      </c>
      <c r="E35" s="5" t="s">
        <v>849</v>
      </c>
      <c r="F35" s="5" t="n">
        <v>1</v>
      </c>
    </row>
    <row r="36" customFormat="false" ht="15" hidden="false" customHeight="true" outlineLevel="0" collapsed="false">
      <c r="A36" s="5" t="s">
        <v>88</v>
      </c>
      <c r="B36" s="5" t="s">
        <v>844</v>
      </c>
      <c r="C36" s="5" t="n">
        <v>26758</v>
      </c>
      <c r="D36" s="5" t="n">
        <v>0.0475</v>
      </c>
      <c r="E36" s="5" t="s">
        <v>842</v>
      </c>
      <c r="F36" s="5" t="n">
        <v>1.088</v>
      </c>
    </row>
    <row r="37" customFormat="false" ht="15" hidden="false" customHeight="true" outlineLevel="0" collapsed="false">
      <c r="A37" s="5" t="s">
        <v>88</v>
      </c>
      <c r="B37" s="5" t="s">
        <v>845</v>
      </c>
      <c r="C37" s="5" t="n">
        <v>39519</v>
      </c>
      <c r="D37" s="5" t="n">
        <v>0.0476</v>
      </c>
      <c r="E37" s="5" t="s">
        <v>846</v>
      </c>
      <c r="F37" s="5" t="n">
        <v>0.53</v>
      </c>
    </row>
    <row r="38" customFormat="false" ht="15" hidden="false" customHeight="true" outlineLevel="0" collapsed="false">
      <c r="A38" s="5" t="s">
        <v>88</v>
      </c>
      <c r="B38" s="5" t="s">
        <v>845</v>
      </c>
      <c r="C38" s="5" t="n">
        <v>39519</v>
      </c>
      <c r="D38" s="5" t="n">
        <v>0.0476</v>
      </c>
      <c r="E38" s="5" t="s">
        <v>847</v>
      </c>
      <c r="F38" s="5" t="n">
        <v>1</v>
      </c>
    </row>
    <row r="39" customFormat="false" ht="15" hidden="false" customHeight="true" outlineLevel="0" collapsed="false">
      <c r="A39" s="5" t="s">
        <v>88</v>
      </c>
      <c r="B39" s="5" t="s">
        <v>845</v>
      </c>
      <c r="C39" s="5" t="n">
        <v>39519</v>
      </c>
      <c r="D39" s="5" t="n">
        <v>0.0476</v>
      </c>
      <c r="E39" s="5" t="s">
        <v>848</v>
      </c>
      <c r="F39" s="5" t="n">
        <v>1</v>
      </c>
    </row>
    <row r="40" customFormat="false" ht="15" hidden="false" customHeight="true" outlineLevel="0" collapsed="false">
      <c r="A40" s="5" t="s">
        <v>88</v>
      </c>
      <c r="B40" s="5" t="s">
        <v>845</v>
      </c>
      <c r="C40" s="5" t="n">
        <v>39519</v>
      </c>
      <c r="D40" s="5" t="n">
        <v>0.0476</v>
      </c>
      <c r="E40" s="5" t="s">
        <v>849</v>
      </c>
      <c r="F40" s="5" t="n">
        <v>1</v>
      </c>
    </row>
    <row r="41" customFormat="false" ht="15" hidden="false" customHeight="true" outlineLevel="0" collapsed="false">
      <c r="A41" s="5" t="s">
        <v>88</v>
      </c>
      <c r="B41" s="5" t="s">
        <v>845</v>
      </c>
      <c r="C41" s="5" t="n">
        <v>39519</v>
      </c>
      <c r="D41" s="5" t="n">
        <v>0.0476</v>
      </c>
      <c r="E41" s="5" t="s">
        <v>842</v>
      </c>
      <c r="F41" s="5" t="n">
        <v>1.07</v>
      </c>
    </row>
    <row r="43" customFormat="false" ht="15" hidden="false" customHeight="true" outlineLevel="0" collapsed="false">
      <c r="A43" s="8" t="s">
        <v>850</v>
      </c>
    </row>
    <row r="44" customFormat="false" ht="15" hidden="false" customHeight="true" outlineLevel="0" collapsed="false">
      <c r="A44" s="8" t="s">
        <v>851</v>
      </c>
    </row>
    <row r="45" customFormat="false" ht="15" hidden="false" customHeight="true" outlineLevel="0" collapsed="false">
      <c r="A45" s="8" t="s">
        <v>852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4"/>
    <col collapsed="false" customWidth="true" hidden="false" outlineLevel="0" max="3" min="2" style="1" width="12"/>
    <col collapsed="false" customWidth="true" hidden="false" outlineLevel="0" max="4" min="4" style="1" width="11"/>
    <col collapsed="false" customWidth="true" hidden="false" outlineLevel="0" max="6" min="5" style="1" width="12"/>
    <col collapsed="false" customWidth="true" hidden="false" outlineLevel="0" max="7" min="7" style="1" width="9"/>
    <col collapsed="false" customWidth="true" hidden="false" outlineLevel="0" max="9" min="8" style="1" width="10"/>
  </cols>
  <sheetData>
    <row r="1" customFormat="false" ht="31.5" hidden="false" customHeight="true" outlineLevel="0" collapsed="false">
      <c r="A1" s="4" t="s">
        <v>46</v>
      </c>
      <c r="B1" s="4" t="s">
        <v>853</v>
      </c>
      <c r="C1" s="4" t="s">
        <v>854</v>
      </c>
      <c r="D1" s="4" t="s">
        <v>97</v>
      </c>
      <c r="E1" s="4" t="s">
        <v>855</v>
      </c>
      <c r="F1" s="4" t="s">
        <v>856</v>
      </c>
      <c r="G1" s="4" t="s">
        <v>53</v>
      </c>
      <c r="H1" s="4" t="s">
        <v>54</v>
      </c>
      <c r="I1" s="4" t="s">
        <v>55</v>
      </c>
    </row>
    <row r="2" customFormat="false" ht="15" hidden="false" customHeight="true" outlineLevel="0" collapsed="false">
      <c r="A2" s="5" t="s">
        <v>74</v>
      </c>
      <c r="B2" s="14" t="n">
        <v>0.000981166932401211</v>
      </c>
      <c r="C2" s="14" t="n">
        <v>0.000453066045394669</v>
      </c>
      <c r="D2" s="7" t="n">
        <v>0.0303405671099605</v>
      </c>
      <c r="E2" s="6" t="n">
        <f aca="false">B2/0.0137744628899316</f>
        <v>0.0712308668760066</v>
      </c>
      <c r="F2" s="6" t="n">
        <f aca="false">C2/0.0137744628899316</f>
        <v>0.0328917395193562</v>
      </c>
      <c r="G2" s="6" t="n">
        <f aca="false">EXP(E2)</f>
        <v>1.07382910882499</v>
      </c>
      <c r="H2" s="6" t="n">
        <f aca="false">EXP(E2-1.96*F2)</f>
        <v>1.00678597853403</v>
      </c>
      <c r="I2" s="6" t="n">
        <f aca="false">EXP(E2+1.96*F2)</f>
        <v>1.14533672453297</v>
      </c>
    </row>
    <row r="3" customFormat="false" ht="15" hidden="false" customHeight="true" outlineLevel="0" collapsed="false">
      <c r="A3" s="5" t="s">
        <v>88</v>
      </c>
      <c r="B3" s="14" t="n">
        <v>0.00128819604522055</v>
      </c>
      <c r="C3" s="14" t="n">
        <v>0.000878439083753758</v>
      </c>
      <c r="D3" s="7" t="n">
        <v>0.142522928197655</v>
      </c>
      <c r="E3" s="6" t="n">
        <f aca="false">B3/0.0137744628899316</f>
        <v>0.0935206008041267</v>
      </c>
      <c r="F3" s="6" t="n">
        <f aca="false">C3/0.0137744628899316</f>
        <v>0.0637730190115689</v>
      </c>
      <c r="G3" s="6" t="n">
        <f aca="false">EXP(E3)</f>
        <v>1.09803322347566</v>
      </c>
      <c r="H3" s="6" t="n">
        <f aca="false">EXP(E3-1.96*F3)</f>
        <v>0.969015650089584</v>
      </c>
      <c r="I3" s="6" t="n">
        <f aca="false">EXP(E3+1.96*F3)</f>
        <v>1.2442285733413</v>
      </c>
    </row>
    <row r="4" customFormat="false" ht="15" hidden="false" customHeight="true" outlineLevel="0" collapsed="false">
      <c r="A4" s="5" t="s">
        <v>127</v>
      </c>
      <c r="B4" s="14" t="n">
        <v>-0.000100954355412276</v>
      </c>
      <c r="C4" s="14" t="n">
        <v>5.00687492972176E-005</v>
      </c>
      <c r="D4" s="7" t="n">
        <v>0.0437670783278524</v>
      </c>
      <c r="E4" s="6" t="n">
        <f aca="false">B4/0.0137744628899316</f>
        <v>-0.00732909560387057</v>
      </c>
      <c r="F4" s="6" t="n">
        <f aca="false">C4/0.0137744628899316</f>
        <v>0.00363489667054932</v>
      </c>
      <c r="G4" s="6" t="n">
        <f aca="false">EXP(E4)</f>
        <v>0.99269769672285</v>
      </c>
      <c r="H4" s="6" t="n">
        <f aca="false">EXP(E4-1.96*F4)</f>
        <v>0.985650457235259</v>
      </c>
      <c r="I4" s="6" t="n">
        <f aca="false">EXP(E4+1.96*F4)</f>
        <v>0.999795322819639</v>
      </c>
    </row>
    <row r="5" customFormat="false" ht="15" hidden="false" customHeight="true" outlineLevel="0" collapsed="false">
      <c r="A5" s="5" t="s">
        <v>129</v>
      </c>
      <c r="B5" s="14" t="n">
        <v>-0.000253529575522785</v>
      </c>
      <c r="C5" s="14" t="n">
        <v>8.58381753048718E-005</v>
      </c>
      <c r="D5" s="7" t="n">
        <v>0.00314115239940222</v>
      </c>
      <c r="E5" s="6" t="n">
        <f aca="false">B5/0.0137744628899316</f>
        <v>-0.0184057685260528</v>
      </c>
      <c r="F5" s="6" t="n">
        <f aca="false">C5/0.0137744628899316</f>
        <v>0.00623168946700745</v>
      </c>
      <c r="G5" s="6" t="n">
        <f aca="false">EXP(E5)</f>
        <v>0.981762583168392</v>
      </c>
      <c r="H5" s="6" t="n">
        <f aca="false">EXP(E5-1.96*F5)</f>
        <v>0.969844160295126</v>
      </c>
      <c r="I5" s="6" t="n">
        <f aca="false">EXP(E5+1.96*F5)</f>
        <v>0.993827471638504</v>
      </c>
    </row>
    <row r="6" customFormat="false" ht="15" hidden="false" customHeight="true" outlineLevel="0" collapsed="false">
      <c r="A6" s="5" t="s">
        <v>131</v>
      </c>
      <c r="B6" s="14" t="n">
        <v>-0.00894196135950078</v>
      </c>
      <c r="C6" s="14" t="n">
        <v>0.00283048560960513</v>
      </c>
      <c r="D6" s="7" t="n">
        <v>0.00158223747100768</v>
      </c>
      <c r="E6" s="6" t="n">
        <f aca="false">B6/0.0137744628899316</f>
        <v>-0.649169512521383</v>
      </c>
      <c r="F6" s="6" t="n">
        <f aca="false">C6/0.0137744628899316</f>
        <v>0.20548791137795</v>
      </c>
      <c r="G6" s="6" t="n">
        <f aca="false">EXP(E6)</f>
        <v>0.522479509321682</v>
      </c>
      <c r="H6" s="6" t="n">
        <f aca="false">EXP(E6-1.96*F6)</f>
        <v>0.3492644809117</v>
      </c>
      <c r="I6" s="6" t="n">
        <f aca="false">EXP(E6+1.96*F6)</f>
        <v>0.781599196541377</v>
      </c>
    </row>
    <row r="7" customFormat="false" ht="15" hidden="false" customHeight="true" outlineLevel="0" collapsed="false">
      <c r="A7" s="5" t="s">
        <v>133</v>
      </c>
      <c r="B7" s="14" t="n">
        <v>0.00129444497373663</v>
      </c>
      <c r="C7" s="14" t="n">
        <v>0.00130231061553102</v>
      </c>
      <c r="D7" s="7" t="n">
        <v>0.320242224131817</v>
      </c>
      <c r="E7" s="6" t="n">
        <f aca="false">B7/0.0137744628899316</f>
        <v>0.093974261216588</v>
      </c>
      <c r="F7" s="6" t="n">
        <f aca="false">C7/0.0137744628899316</f>
        <v>0.0945452919607442</v>
      </c>
      <c r="G7" s="6" t="n">
        <f aca="false">EXP(E7)</f>
        <v>1.0985314706897</v>
      </c>
      <c r="H7" s="6" t="n">
        <f aca="false">EXP(E7-1.96*F7)</f>
        <v>0.912712347484169</v>
      </c>
      <c r="I7" s="6" t="n">
        <f aca="false">EXP(E7+1.96*F7)</f>
        <v>1.32218151252369</v>
      </c>
    </row>
    <row r="9" customFormat="false" ht="15" hidden="false" customHeight="true" outlineLevel="0" collapsed="false">
      <c r="A9" s="8" t="s">
        <v>857</v>
      </c>
    </row>
    <row r="10" customFormat="false" ht="15" hidden="false" customHeight="true" outlineLevel="0" collapsed="false">
      <c r="A10" s="8" t="s">
        <v>858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52"/>
    <col collapsed="false" customWidth="true" hidden="false" outlineLevel="0" max="2" min="2" style="1" width="10"/>
    <col collapsed="false" customWidth="true" hidden="false" outlineLevel="0" max="3" min="3" style="1" width="26"/>
    <col collapsed="false" customWidth="true" hidden="false" outlineLevel="0" max="4" min="4" style="1" width="8"/>
    <col collapsed="false" customWidth="true" hidden="false" outlineLevel="0" max="6" min="5" style="1" width="10"/>
    <col collapsed="false" customWidth="true" hidden="false" outlineLevel="0" max="7" min="7" style="1" width="11"/>
    <col collapsed="false" customWidth="true" hidden="false" outlineLevel="0" max="8" min="8" style="1" width="8"/>
  </cols>
  <sheetData>
    <row r="1" customFormat="false" ht="31.5" hidden="false" customHeight="true" outlineLevel="0" collapsed="false">
      <c r="A1" s="4" t="s">
        <v>859</v>
      </c>
      <c r="B1" s="4" t="s">
        <v>46</v>
      </c>
      <c r="C1" s="4" t="s">
        <v>47</v>
      </c>
      <c r="D1" s="4" t="s">
        <v>860</v>
      </c>
      <c r="E1" s="4" t="s">
        <v>50</v>
      </c>
      <c r="F1" s="4" t="s">
        <v>96</v>
      </c>
      <c r="G1" s="4" t="s">
        <v>97</v>
      </c>
      <c r="H1" s="4" t="s">
        <v>53</v>
      </c>
    </row>
    <row r="2" customFormat="false" ht="15" hidden="false" customHeight="true" outlineLevel="0" collapsed="false">
      <c r="A2" s="5" t="s">
        <v>861</v>
      </c>
      <c r="B2" s="5" t="s">
        <v>836</v>
      </c>
      <c r="C2" s="5" t="s">
        <v>837</v>
      </c>
      <c r="D2" s="5" t="n">
        <v>106</v>
      </c>
      <c r="E2" s="6" t="n">
        <v>0.1335</v>
      </c>
      <c r="F2" s="6" t="n">
        <v>0.0212</v>
      </c>
      <c r="G2" s="7" t="n">
        <v>3.17E-010</v>
      </c>
      <c r="H2" s="6" t="n">
        <f aca="false">EXP(E2)</f>
        <v>1.14282126613511</v>
      </c>
    </row>
    <row r="3" customFormat="false" ht="15" hidden="false" customHeight="true" outlineLevel="0" collapsed="false">
      <c r="A3" s="5" t="s">
        <v>862</v>
      </c>
      <c r="B3" s="5" t="s">
        <v>836</v>
      </c>
      <c r="C3" s="5" t="s">
        <v>837</v>
      </c>
      <c r="D3" s="5" t="n">
        <v>102</v>
      </c>
      <c r="E3" s="6" t="n">
        <v>0.1317</v>
      </c>
      <c r="F3" s="6" t="n">
        <v>0.0215</v>
      </c>
      <c r="G3" s="7" t="n">
        <v>9.62E-010</v>
      </c>
      <c r="H3" s="6" t="n">
        <f aca="false">EXP(E3)</f>
        <v>1.14076603811619</v>
      </c>
    </row>
    <row r="4" customFormat="false" ht="15" hidden="false" customHeight="true" outlineLevel="0" collapsed="false">
      <c r="A4" s="5" t="s">
        <v>863</v>
      </c>
      <c r="B4" s="5" t="s">
        <v>836</v>
      </c>
      <c r="C4" s="5" t="s">
        <v>837</v>
      </c>
      <c r="D4" s="5" t="n">
        <v>103</v>
      </c>
      <c r="E4" s="6" t="n">
        <v>0.1346</v>
      </c>
      <c r="F4" s="6" t="n">
        <v>0.0212</v>
      </c>
      <c r="G4" s="7" t="n">
        <v>2.03E-010</v>
      </c>
      <c r="H4" s="6" t="n">
        <f aca="false">EXP(E4)</f>
        <v>1.14407906118831</v>
      </c>
    </row>
    <row r="5" customFormat="false" ht="15" hidden="false" customHeight="true" outlineLevel="0" collapsed="false">
      <c r="A5" s="5" t="s">
        <v>864</v>
      </c>
      <c r="B5" s="5" t="s">
        <v>836</v>
      </c>
      <c r="C5" s="5" t="s">
        <v>837</v>
      </c>
      <c r="D5" s="5" t="n">
        <v>103</v>
      </c>
      <c r="E5" s="6" t="n">
        <v>0.1262</v>
      </c>
      <c r="F5" s="6" t="n">
        <v>0.0214</v>
      </c>
      <c r="G5" s="7" t="n">
        <v>3.77E-009</v>
      </c>
      <c r="H5" s="6" t="n">
        <f aca="false">EXP(E5)</f>
        <v>1.13450904740384</v>
      </c>
    </row>
    <row r="6" customFormat="false" ht="15" hidden="false" customHeight="true" outlineLevel="0" collapsed="false">
      <c r="A6" s="5" t="s">
        <v>865</v>
      </c>
      <c r="B6" s="5" t="s">
        <v>836</v>
      </c>
      <c r="C6" s="5" t="s">
        <v>837</v>
      </c>
      <c r="D6" s="5" t="n">
        <v>78</v>
      </c>
      <c r="E6" s="6" t="n">
        <v>0.147</v>
      </c>
      <c r="F6" s="6" t="n">
        <v>0.0223</v>
      </c>
      <c r="G6" s="7" t="n">
        <v>4.43E-011</v>
      </c>
      <c r="H6" s="6" t="n">
        <f aca="false">EXP(E6)</f>
        <v>1.15835396302986</v>
      </c>
    </row>
    <row r="7" customFormat="false" ht="15" hidden="false" customHeight="true" outlineLevel="0" collapsed="false">
      <c r="A7" s="5" t="s">
        <v>866</v>
      </c>
      <c r="B7" s="5" t="s">
        <v>836</v>
      </c>
      <c r="C7" s="5" t="s">
        <v>837</v>
      </c>
      <c r="D7" s="5" t="n">
        <v>40</v>
      </c>
      <c r="E7" s="6" t="n">
        <v>0.1833</v>
      </c>
      <c r="F7" s="6" t="n">
        <v>0.0241</v>
      </c>
      <c r="G7" s="7" t="n">
        <v>2.53E-014</v>
      </c>
      <c r="H7" s="6" t="n">
        <f aca="false">EXP(E7)</f>
        <v>1.20117470644531</v>
      </c>
    </row>
    <row r="8" customFormat="false" ht="15" hidden="false" customHeight="true" outlineLevel="0" collapsed="false">
      <c r="A8" s="5" t="s">
        <v>867</v>
      </c>
      <c r="B8" s="5" t="s">
        <v>836</v>
      </c>
      <c r="C8" s="5" t="s">
        <v>837</v>
      </c>
      <c r="D8" s="5" t="n">
        <v>40</v>
      </c>
      <c r="E8" s="6" t="n">
        <v>0.1682</v>
      </c>
      <c r="F8" s="6" t="n">
        <v>0.0195</v>
      </c>
      <c r="G8" s="7" t="n">
        <v>6.57E-018</v>
      </c>
      <c r="H8" s="6" t="n">
        <f aca="false">EXP(E8)</f>
        <v>1.18317322163025</v>
      </c>
    </row>
    <row r="9" customFormat="false" ht="15" hidden="false" customHeight="true" outlineLevel="0" collapsed="false">
      <c r="A9" s="5" t="s">
        <v>861</v>
      </c>
      <c r="B9" s="5" t="s">
        <v>836</v>
      </c>
      <c r="C9" s="5" t="s">
        <v>844</v>
      </c>
      <c r="D9" s="5" t="n">
        <v>114</v>
      </c>
      <c r="E9" s="6" t="n">
        <v>0.0858</v>
      </c>
      <c r="F9" s="6" t="n">
        <v>0.0232</v>
      </c>
      <c r="G9" s="7" t="n">
        <v>0.000213</v>
      </c>
      <c r="H9" s="6" t="n">
        <f aca="false">EXP(E9)</f>
        <v>1.08958838883414</v>
      </c>
    </row>
    <row r="10" customFormat="false" ht="15" hidden="false" customHeight="true" outlineLevel="0" collapsed="false">
      <c r="A10" s="5" t="s">
        <v>862</v>
      </c>
      <c r="B10" s="5" t="s">
        <v>836</v>
      </c>
      <c r="C10" s="5" t="s">
        <v>844</v>
      </c>
      <c r="D10" s="5" t="n">
        <v>108</v>
      </c>
      <c r="E10" s="6" t="n">
        <v>0.088</v>
      </c>
      <c r="F10" s="6" t="n">
        <v>0.0242</v>
      </c>
      <c r="G10" s="7" t="n">
        <v>0.000271</v>
      </c>
      <c r="H10" s="6" t="n">
        <f aca="false">EXP(E10)</f>
        <v>1.0919881220282</v>
      </c>
    </row>
    <row r="11" customFormat="false" ht="15" hidden="false" customHeight="true" outlineLevel="0" collapsed="false">
      <c r="A11" s="5" t="s">
        <v>863</v>
      </c>
      <c r="B11" s="5" t="s">
        <v>836</v>
      </c>
      <c r="C11" s="5" t="s">
        <v>844</v>
      </c>
      <c r="D11" s="5" t="n">
        <v>114</v>
      </c>
      <c r="E11" s="6" t="n">
        <v>0.0858</v>
      </c>
      <c r="F11" s="6" t="n">
        <v>0.0232</v>
      </c>
      <c r="G11" s="7" t="n">
        <v>0.000213</v>
      </c>
      <c r="H11" s="6" t="n">
        <f aca="false">EXP(E11)</f>
        <v>1.08958838883414</v>
      </c>
    </row>
    <row r="12" customFormat="false" ht="15" hidden="false" customHeight="true" outlineLevel="0" collapsed="false">
      <c r="A12" s="5" t="s">
        <v>864</v>
      </c>
      <c r="B12" s="5" t="s">
        <v>836</v>
      </c>
      <c r="C12" s="5" t="s">
        <v>844</v>
      </c>
      <c r="D12" s="5" t="n">
        <v>111</v>
      </c>
      <c r="E12" s="6" t="n">
        <v>0.081</v>
      </c>
      <c r="F12" s="6" t="n">
        <v>0.0231</v>
      </c>
      <c r="G12" s="7" t="n">
        <v>0.000457</v>
      </c>
      <c r="H12" s="6" t="n">
        <f aca="false">EXP(E12)</f>
        <v>1.08437089656676</v>
      </c>
    </row>
    <row r="13" customFormat="false" ht="15" hidden="false" customHeight="true" outlineLevel="0" collapsed="false">
      <c r="A13" s="5" t="s">
        <v>865</v>
      </c>
      <c r="B13" s="5" t="s">
        <v>836</v>
      </c>
      <c r="C13" s="5" t="s">
        <v>844</v>
      </c>
      <c r="D13" s="5" t="n">
        <v>78</v>
      </c>
      <c r="E13" s="6" t="n">
        <v>0.089</v>
      </c>
      <c r="F13" s="6" t="n">
        <v>0.0252</v>
      </c>
      <c r="G13" s="7" t="n">
        <v>0.000417</v>
      </c>
      <c r="H13" s="6" t="n">
        <f aca="false">EXP(E13)</f>
        <v>1.09308065632633</v>
      </c>
    </row>
    <row r="14" customFormat="false" ht="15" hidden="false" customHeight="true" outlineLevel="0" collapsed="false">
      <c r="A14" s="5" t="s">
        <v>866</v>
      </c>
      <c r="B14" s="5" t="s">
        <v>836</v>
      </c>
      <c r="C14" s="5" t="s">
        <v>844</v>
      </c>
      <c r="D14" s="5" t="n">
        <v>40</v>
      </c>
      <c r="E14" s="6" t="n">
        <v>0.0802</v>
      </c>
      <c r="F14" s="6" t="n">
        <v>0.0293</v>
      </c>
      <c r="G14" s="7" t="n">
        <v>0.00614</v>
      </c>
      <c r="H14" s="6" t="n">
        <f aca="false">EXP(E14)</f>
        <v>1.08350374675568</v>
      </c>
    </row>
    <row r="15" customFormat="false" ht="15" hidden="false" customHeight="true" outlineLevel="0" collapsed="false">
      <c r="A15" s="5" t="s">
        <v>861</v>
      </c>
      <c r="B15" s="5" t="s">
        <v>88</v>
      </c>
      <c r="C15" s="5" t="s">
        <v>837</v>
      </c>
      <c r="D15" s="5" t="n">
        <v>464</v>
      </c>
      <c r="E15" s="6" t="n">
        <v>0.1874</v>
      </c>
      <c r="F15" s="6" t="n">
        <v>0.0395</v>
      </c>
      <c r="G15" s="7" t="n">
        <v>2.13E-006</v>
      </c>
      <c r="H15" s="6" t="n">
        <f aca="false">EXP(E15)</f>
        <v>1.20610963242699</v>
      </c>
    </row>
    <row r="16" customFormat="false" ht="15" hidden="false" customHeight="true" outlineLevel="0" collapsed="false">
      <c r="A16" s="5" t="s">
        <v>862</v>
      </c>
      <c r="B16" s="5" t="s">
        <v>88</v>
      </c>
      <c r="C16" s="5" t="s">
        <v>837</v>
      </c>
      <c r="D16" s="5" t="n">
        <v>431</v>
      </c>
      <c r="E16" s="6" t="n">
        <v>0.1962</v>
      </c>
      <c r="F16" s="6" t="n">
        <v>0.0403</v>
      </c>
      <c r="G16" s="7" t="n">
        <v>1.13E-006</v>
      </c>
      <c r="H16" s="6" t="n">
        <f aca="false">EXP(E16)</f>
        <v>1.21677023504754</v>
      </c>
    </row>
    <row r="17" customFormat="false" ht="15" hidden="false" customHeight="true" outlineLevel="0" collapsed="false">
      <c r="A17" s="5" t="s">
        <v>863</v>
      </c>
      <c r="B17" s="5" t="s">
        <v>88</v>
      </c>
      <c r="C17" s="5" t="s">
        <v>837</v>
      </c>
      <c r="D17" s="5" t="n">
        <v>446</v>
      </c>
      <c r="E17" s="6" t="n">
        <v>0.1892</v>
      </c>
      <c r="F17" s="6" t="n">
        <v>0.0402</v>
      </c>
      <c r="G17" s="7" t="n">
        <v>2.51E-006</v>
      </c>
      <c r="H17" s="6" t="n">
        <f aca="false">EXP(E17)</f>
        <v>1.20828258483583</v>
      </c>
    </row>
    <row r="18" customFormat="false" ht="15" hidden="false" customHeight="true" outlineLevel="0" collapsed="false">
      <c r="A18" s="5" t="s">
        <v>864</v>
      </c>
      <c r="B18" s="5" t="s">
        <v>88</v>
      </c>
      <c r="C18" s="5" t="s">
        <v>837</v>
      </c>
      <c r="D18" s="5" t="n">
        <v>403</v>
      </c>
      <c r="E18" s="6" t="n">
        <v>0.183</v>
      </c>
      <c r="F18" s="6" t="n">
        <v>0.0415</v>
      </c>
      <c r="G18" s="7" t="n">
        <v>1.06E-005</v>
      </c>
      <c r="H18" s="6" t="n">
        <f aca="false">EXP(E18)</f>
        <v>1.20081440808083</v>
      </c>
    </row>
    <row r="19" customFormat="false" ht="15" hidden="false" customHeight="true" outlineLevel="0" collapsed="false">
      <c r="A19" s="5" t="s">
        <v>865</v>
      </c>
      <c r="B19" s="5" t="s">
        <v>88</v>
      </c>
      <c r="C19" s="5" t="s">
        <v>837</v>
      </c>
      <c r="D19" s="5" t="n">
        <v>212</v>
      </c>
      <c r="E19" s="6" t="n">
        <v>0.2184</v>
      </c>
      <c r="F19" s="6" t="n">
        <v>0.0467</v>
      </c>
      <c r="G19" s="7" t="n">
        <v>2.91E-006</v>
      </c>
      <c r="H19" s="6" t="n">
        <f aca="false">EXP(E19)</f>
        <v>1.24408460194634</v>
      </c>
    </row>
    <row r="20" customFormat="false" ht="15" hidden="false" customHeight="true" outlineLevel="0" collapsed="false">
      <c r="A20" s="5" t="s">
        <v>866</v>
      </c>
      <c r="B20" s="5" t="s">
        <v>88</v>
      </c>
      <c r="C20" s="5" t="s">
        <v>837</v>
      </c>
      <c r="D20" s="5" t="n">
        <v>19</v>
      </c>
      <c r="E20" s="6" t="n">
        <v>0.1824</v>
      </c>
      <c r="F20" s="6" t="n">
        <v>0.1032</v>
      </c>
      <c r="G20" s="7" t="n">
        <v>0.077</v>
      </c>
      <c r="H20" s="6" t="n">
        <f aca="false">EXP(E20)</f>
        <v>1.20009413553935</v>
      </c>
    </row>
    <row r="21" customFormat="false" ht="15" hidden="false" customHeight="true" outlineLevel="0" collapsed="false">
      <c r="A21" s="5" t="s">
        <v>867</v>
      </c>
      <c r="B21" s="5" t="s">
        <v>88</v>
      </c>
      <c r="C21" s="5" t="s">
        <v>837</v>
      </c>
      <c r="D21" s="5" t="n">
        <v>19</v>
      </c>
      <c r="E21" s="6" t="n">
        <v>0.1788</v>
      </c>
      <c r="F21" s="6" t="n">
        <v>0.1033</v>
      </c>
      <c r="G21" s="7" t="n">
        <v>0.0836</v>
      </c>
      <c r="H21" s="6" t="n">
        <f aca="false">EXP(E21)</f>
        <v>1.19578156393787</v>
      </c>
    </row>
    <row r="22" customFormat="false" ht="15" hidden="false" customHeight="true" outlineLevel="0" collapsed="false">
      <c r="A22" s="5" t="s">
        <v>861</v>
      </c>
      <c r="B22" s="5" t="s">
        <v>88</v>
      </c>
      <c r="C22" s="5" t="s">
        <v>844</v>
      </c>
      <c r="D22" s="5" t="n">
        <v>480</v>
      </c>
      <c r="E22" s="6" t="n">
        <v>0.1216</v>
      </c>
      <c r="F22" s="6" t="n">
        <v>0.0411</v>
      </c>
      <c r="G22" s="7" t="n">
        <v>0.00306</v>
      </c>
      <c r="H22" s="6" t="n">
        <f aca="false">EXP(E22)</f>
        <v>1.12930229050789</v>
      </c>
    </row>
    <row r="23" customFormat="false" ht="15" hidden="false" customHeight="true" outlineLevel="0" collapsed="false">
      <c r="A23" s="5" t="s">
        <v>862</v>
      </c>
      <c r="B23" s="5" t="s">
        <v>88</v>
      </c>
      <c r="C23" s="5" t="s">
        <v>844</v>
      </c>
      <c r="D23" s="5" t="n">
        <v>445</v>
      </c>
      <c r="E23" s="6" t="n">
        <v>0.1296</v>
      </c>
      <c r="F23" s="6" t="n">
        <v>0.0428</v>
      </c>
      <c r="G23" s="7" t="n">
        <v>0.00248</v>
      </c>
      <c r="H23" s="6" t="n">
        <f aca="false">EXP(E23)</f>
        <v>1.13837294306542</v>
      </c>
    </row>
    <row r="24" customFormat="false" ht="15" hidden="false" customHeight="true" outlineLevel="0" collapsed="false">
      <c r="A24" s="5" t="s">
        <v>863</v>
      </c>
      <c r="B24" s="5" t="s">
        <v>88</v>
      </c>
      <c r="C24" s="5" t="s">
        <v>844</v>
      </c>
      <c r="D24" s="5" t="n">
        <v>473</v>
      </c>
      <c r="E24" s="6" t="n">
        <v>0.1207</v>
      </c>
      <c r="F24" s="6" t="n">
        <v>0.0409</v>
      </c>
      <c r="G24" s="7" t="n">
        <v>0.00313</v>
      </c>
      <c r="H24" s="6" t="n">
        <f aca="false">EXP(E24)</f>
        <v>1.12828637567668</v>
      </c>
    </row>
    <row r="25" customFormat="false" ht="15" hidden="false" customHeight="true" outlineLevel="0" collapsed="false">
      <c r="A25" s="5" t="s">
        <v>864</v>
      </c>
      <c r="B25" s="5" t="s">
        <v>88</v>
      </c>
      <c r="C25" s="5" t="s">
        <v>844</v>
      </c>
      <c r="D25" s="5" t="n">
        <v>416</v>
      </c>
      <c r="E25" s="6" t="n">
        <v>0.1025</v>
      </c>
      <c r="F25" s="6" t="n">
        <v>0.0428</v>
      </c>
      <c r="G25" s="7" t="n">
        <v>0.0166</v>
      </c>
      <c r="H25" s="6" t="n">
        <f aca="false">EXP(E25)</f>
        <v>1.1079373019098</v>
      </c>
    </row>
    <row r="26" customFormat="false" ht="15" hidden="false" customHeight="true" outlineLevel="0" collapsed="false">
      <c r="A26" s="5" t="s">
        <v>865</v>
      </c>
      <c r="B26" s="5" t="s">
        <v>88</v>
      </c>
      <c r="C26" s="5" t="s">
        <v>844</v>
      </c>
      <c r="D26" s="5" t="n">
        <v>211</v>
      </c>
      <c r="E26" s="6" t="n">
        <v>0.1241</v>
      </c>
      <c r="F26" s="6" t="n">
        <v>0.0521</v>
      </c>
      <c r="G26" s="7" t="n">
        <v>0.0172</v>
      </c>
      <c r="H26" s="6" t="n">
        <f aca="false">EXP(E26)</f>
        <v>1.13212907824654</v>
      </c>
    </row>
    <row r="27" customFormat="false" ht="15" hidden="false" customHeight="true" outlineLevel="0" collapsed="false">
      <c r="A27" s="5" t="s">
        <v>866</v>
      </c>
      <c r="B27" s="5" t="s">
        <v>88</v>
      </c>
      <c r="C27" s="5" t="s">
        <v>844</v>
      </c>
      <c r="D27" s="5" t="n">
        <v>19</v>
      </c>
      <c r="E27" s="6" t="n">
        <v>0.148</v>
      </c>
      <c r="F27" s="6" t="n">
        <v>0.0957</v>
      </c>
      <c r="G27" s="7" t="n">
        <v>0.122</v>
      </c>
      <c r="H27" s="6" t="n">
        <f aca="false">EXP(E27)</f>
        <v>1.15951289636297</v>
      </c>
    </row>
    <row r="29" customFormat="false" ht="15" hidden="false" customHeight="true" outlineLevel="0" collapsed="false">
      <c r="A29" s="2" t="s">
        <v>868</v>
      </c>
    </row>
    <row r="30" customFormat="false" ht="31.5" hidden="false" customHeight="true" outlineLevel="0" collapsed="false">
      <c r="A30" s="4" t="s">
        <v>46</v>
      </c>
      <c r="B30" s="4" t="s">
        <v>94</v>
      </c>
      <c r="C30" s="4" t="s">
        <v>860</v>
      </c>
      <c r="D30" s="4" t="s">
        <v>95</v>
      </c>
      <c r="E30" s="4" t="s">
        <v>96</v>
      </c>
      <c r="F30" s="4" t="s">
        <v>97</v>
      </c>
      <c r="G30" s="4" t="s">
        <v>53</v>
      </c>
    </row>
    <row r="31" customFormat="false" ht="15" hidden="false" customHeight="true" outlineLevel="0" collapsed="false">
      <c r="A31" s="5" t="s">
        <v>836</v>
      </c>
      <c r="B31" s="5" t="s">
        <v>100</v>
      </c>
      <c r="C31" s="5" t="n">
        <v>40</v>
      </c>
      <c r="D31" s="6" t="n">
        <v>0.168</v>
      </c>
      <c r="E31" s="6" t="n">
        <v>0.0195</v>
      </c>
      <c r="F31" s="7" t="n">
        <v>6.57E-018</v>
      </c>
      <c r="G31" s="6" t="n">
        <f aca="false">EXP(D31)</f>
        <v>1.18293661064781</v>
      </c>
    </row>
    <row r="32" customFormat="false" ht="15" hidden="false" customHeight="true" outlineLevel="0" collapsed="false">
      <c r="A32" s="5" t="s">
        <v>836</v>
      </c>
      <c r="B32" s="5" t="s">
        <v>869</v>
      </c>
      <c r="C32" s="5" t="n">
        <v>40</v>
      </c>
      <c r="D32" s="6" t="n">
        <v>0.168</v>
      </c>
      <c r="E32" s="6" t="n">
        <v>0.0204</v>
      </c>
      <c r="F32" s="7" t="n">
        <v>1.8E-016</v>
      </c>
      <c r="G32" s="6" t="n">
        <f aca="false">EXP(D32)</f>
        <v>1.18293661064781</v>
      </c>
    </row>
    <row r="33" customFormat="false" ht="15" hidden="false" customHeight="true" outlineLevel="0" collapsed="false">
      <c r="A33" s="5" t="s">
        <v>836</v>
      </c>
      <c r="B33" s="5" t="s">
        <v>112</v>
      </c>
      <c r="C33" s="5" t="n">
        <v>40</v>
      </c>
      <c r="D33" s="6" t="n">
        <v>0.151</v>
      </c>
      <c r="E33" s="6" t="n">
        <v>0.029</v>
      </c>
      <c r="F33" s="7" t="n">
        <v>1.97E-007</v>
      </c>
      <c r="G33" s="6" t="n">
        <f aca="false">EXP(D33)</f>
        <v>1.16299665808182</v>
      </c>
    </row>
    <row r="34" customFormat="false" ht="15" hidden="false" customHeight="true" outlineLevel="0" collapsed="false">
      <c r="A34" s="5" t="s">
        <v>88</v>
      </c>
      <c r="B34" s="5" t="s">
        <v>100</v>
      </c>
      <c r="C34" s="5" t="n">
        <v>19</v>
      </c>
      <c r="D34" s="6" t="n">
        <v>0.179</v>
      </c>
      <c r="E34" s="6" t="n">
        <v>0.1033</v>
      </c>
      <c r="F34" s="7" t="n">
        <v>0.0836</v>
      </c>
      <c r="G34" s="6" t="n">
        <f aca="false">EXP(D34)</f>
        <v>1.19602074416788</v>
      </c>
    </row>
    <row r="35" customFormat="false" ht="15" hidden="false" customHeight="true" outlineLevel="0" collapsed="false">
      <c r="A35" s="5" t="s">
        <v>88</v>
      </c>
      <c r="B35" s="5" t="s">
        <v>869</v>
      </c>
      <c r="C35" s="5" t="n">
        <v>19</v>
      </c>
      <c r="D35" s="6" t="n">
        <v>0.178</v>
      </c>
      <c r="E35" s="6" t="n">
        <v>0.0802</v>
      </c>
      <c r="F35" s="7" t="n">
        <v>0.0266</v>
      </c>
      <c r="G35" s="6" t="n">
        <f aca="false">EXP(D35)</f>
        <v>1.1948253212348</v>
      </c>
    </row>
    <row r="36" customFormat="false" ht="15" hidden="false" customHeight="true" outlineLevel="0" collapsed="false">
      <c r="A36" s="5" t="s">
        <v>88</v>
      </c>
      <c r="B36" s="5" t="s">
        <v>112</v>
      </c>
      <c r="C36" s="5" t="n">
        <v>19</v>
      </c>
      <c r="D36" s="6" t="n">
        <v>0.302</v>
      </c>
      <c r="E36" s="6" t="n">
        <v>0.1219</v>
      </c>
      <c r="F36" s="7" t="n">
        <v>0.0131</v>
      </c>
      <c r="G36" s="6" t="n">
        <f aca="false">EXP(D36)</f>
        <v>1.35256122670948</v>
      </c>
    </row>
    <row r="38" customFormat="false" ht="15" hidden="false" customHeight="true" outlineLevel="0" collapsed="false">
      <c r="A38" s="2" t="s">
        <v>870</v>
      </c>
    </row>
    <row r="39" customFormat="false" ht="31.5" hidden="false" customHeight="true" outlineLevel="0" collapsed="false">
      <c r="A39" s="4" t="s">
        <v>46</v>
      </c>
      <c r="B39" s="4" t="s">
        <v>859</v>
      </c>
      <c r="C39" s="4" t="s">
        <v>871</v>
      </c>
      <c r="D39" s="4" t="s">
        <v>872</v>
      </c>
      <c r="E39" s="4" t="s">
        <v>873</v>
      </c>
      <c r="F39" s="4" t="s">
        <v>874</v>
      </c>
      <c r="G39" s="4" t="s">
        <v>818</v>
      </c>
      <c r="H39" s="4" t="s">
        <v>97</v>
      </c>
    </row>
    <row r="40" customFormat="false" ht="15" hidden="false" customHeight="true" outlineLevel="0" collapsed="false">
      <c r="A40" s="5" t="s">
        <v>836</v>
      </c>
      <c r="B40" s="5" t="s">
        <v>861</v>
      </c>
      <c r="C40" s="5" t="n">
        <v>106</v>
      </c>
      <c r="D40" s="5" t="n">
        <v>114</v>
      </c>
      <c r="E40" s="6" t="n">
        <v>0.133</v>
      </c>
      <c r="F40" s="6" t="n">
        <v>0.0858</v>
      </c>
      <c r="G40" s="11" t="n">
        <v>1.519</v>
      </c>
      <c r="H40" s="12" t="n">
        <v>0.129</v>
      </c>
    </row>
    <row r="41" customFormat="false" ht="15" hidden="false" customHeight="true" outlineLevel="0" collapsed="false">
      <c r="A41" s="5" t="s">
        <v>836</v>
      </c>
      <c r="B41" s="5" t="s">
        <v>862</v>
      </c>
      <c r="C41" s="5" t="n">
        <v>102</v>
      </c>
      <c r="D41" s="5" t="n">
        <v>108</v>
      </c>
      <c r="E41" s="6" t="n">
        <v>0.132</v>
      </c>
      <c r="F41" s="6" t="n">
        <v>0.088</v>
      </c>
      <c r="G41" s="11" t="n">
        <v>1.35</v>
      </c>
      <c r="H41" s="12" t="n">
        <v>0.177</v>
      </c>
    </row>
    <row r="42" customFormat="false" ht="15" hidden="false" customHeight="true" outlineLevel="0" collapsed="false">
      <c r="A42" s="5" t="s">
        <v>836</v>
      </c>
      <c r="B42" s="5" t="s">
        <v>863</v>
      </c>
      <c r="C42" s="5" t="n">
        <v>103</v>
      </c>
      <c r="D42" s="5" t="n">
        <v>114</v>
      </c>
      <c r="E42" s="6" t="n">
        <v>0.135</v>
      </c>
      <c r="F42" s="6" t="n">
        <v>0.0858</v>
      </c>
      <c r="G42" s="11" t="n">
        <v>1.557</v>
      </c>
      <c r="H42" s="12" t="n">
        <v>0.12</v>
      </c>
    </row>
    <row r="43" customFormat="false" ht="15" hidden="false" customHeight="true" outlineLevel="0" collapsed="false">
      <c r="A43" s="5" t="s">
        <v>836</v>
      </c>
      <c r="B43" s="5" t="s">
        <v>864</v>
      </c>
      <c r="C43" s="5" t="n">
        <v>103</v>
      </c>
      <c r="D43" s="5" t="n">
        <v>111</v>
      </c>
      <c r="E43" s="6" t="n">
        <v>0.126</v>
      </c>
      <c r="F43" s="6" t="n">
        <v>0.081</v>
      </c>
      <c r="G43" s="11" t="n">
        <v>1.434</v>
      </c>
      <c r="H43" s="12" t="n">
        <v>0.151</v>
      </c>
    </row>
    <row r="44" customFormat="false" ht="15" hidden="false" customHeight="true" outlineLevel="0" collapsed="false">
      <c r="A44" s="5" t="s">
        <v>836</v>
      </c>
      <c r="B44" s="5" t="s">
        <v>865</v>
      </c>
      <c r="C44" s="5" t="n">
        <v>78</v>
      </c>
      <c r="D44" s="5" t="n">
        <v>78</v>
      </c>
      <c r="E44" s="6" t="n">
        <v>0.147</v>
      </c>
      <c r="F44" s="6" t="n">
        <v>0.089</v>
      </c>
      <c r="G44" s="11" t="n">
        <v>1.721</v>
      </c>
      <c r="H44" s="12" t="n">
        <v>0.085</v>
      </c>
    </row>
    <row r="45" customFormat="false" ht="15" hidden="false" customHeight="true" outlineLevel="0" collapsed="false">
      <c r="A45" s="5" t="s">
        <v>836</v>
      </c>
      <c r="B45" s="5" t="s">
        <v>866</v>
      </c>
      <c r="C45" s="5" t="n">
        <v>40</v>
      </c>
      <c r="D45" s="5" t="n">
        <v>40</v>
      </c>
      <c r="E45" s="6" t="n">
        <v>0.183</v>
      </c>
      <c r="F45" s="6" t="n">
        <v>0.0802</v>
      </c>
      <c r="G45" s="11" t="n">
        <v>2.72</v>
      </c>
      <c r="H45" s="12" t="n">
        <v>0.0065</v>
      </c>
    </row>
    <row r="46" customFormat="false" ht="15" hidden="false" customHeight="true" outlineLevel="0" collapsed="false">
      <c r="A46" s="5" t="s">
        <v>88</v>
      </c>
      <c r="B46" s="5" t="s">
        <v>861</v>
      </c>
      <c r="C46" s="5" t="n">
        <v>464</v>
      </c>
      <c r="D46" s="5" t="n">
        <v>480</v>
      </c>
      <c r="E46" s="6" t="n">
        <v>0.187</v>
      </c>
      <c r="F46" s="6" t="n">
        <v>0.1216</v>
      </c>
      <c r="G46" s="11" t="n">
        <v>1.154</v>
      </c>
      <c r="H46" s="12" t="n">
        <v>0.249</v>
      </c>
    </row>
    <row r="47" customFormat="false" ht="15" hidden="false" customHeight="true" outlineLevel="0" collapsed="false">
      <c r="A47" s="5" t="s">
        <v>88</v>
      </c>
      <c r="B47" s="5" t="s">
        <v>862</v>
      </c>
      <c r="C47" s="5" t="n">
        <v>431</v>
      </c>
      <c r="D47" s="5" t="n">
        <v>445</v>
      </c>
      <c r="E47" s="6" t="n">
        <v>0.196</v>
      </c>
      <c r="F47" s="6" t="n">
        <v>0.1296</v>
      </c>
      <c r="G47" s="11" t="n">
        <v>1.132</v>
      </c>
      <c r="H47" s="12" t="n">
        <v>0.258</v>
      </c>
    </row>
    <row r="48" customFormat="false" ht="15" hidden="false" customHeight="true" outlineLevel="0" collapsed="false">
      <c r="A48" s="5" t="s">
        <v>88</v>
      </c>
      <c r="B48" s="5" t="s">
        <v>863</v>
      </c>
      <c r="C48" s="5" t="n">
        <v>446</v>
      </c>
      <c r="D48" s="5" t="n">
        <v>473</v>
      </c>
      <c r="E48" s="6" t="n">
        <v>0.189</v>
      </c>
      <c r="F48" s="6" t="n">
        <v>0.1207</v>
      </c>
      <c r="G48" s="11" t="n">
        <v>1.194</v>
      </c>
      <c r="H48" s="12" t="n">
        <v>0.232</v>
      </c>
    </row>
    <row r="49" customFormat="false" ht="15" hidden="false" customHeight="true" outlineLevel="0" collapsed="false">
      <c r="A49" s="5" t="s">
        <v>88</v>
      </c>
      <c r="B49" s="5" t="s">
        <v>864</v>
      </c>
      <c r="C49" s="5" t="n">
        <v>403</v>
      </c>
      <c r="D49" s="5" t="n">
        <v>416</v>
      </c>
      <c r="E49" s="6" t="n">
        <v>0.183</v>
      </c>
      <c r="F49" s="6" t="n">
        <v>0.1025</v>
      </c>
      <c r="G49" s="11" t="n">
        <v>1.349</v>
      </c>
      <c r="H49" s="12" t="n">
        <v>0.177</v>
      </c>
    </row>
    <row r="50" customFormat="false" ht="15" hidden="false" customHeight="true" outlineLevel="0" collapsed="false">
      <c r="A50" s="5" t="s">
        <v>88</v>
      </c>
      <c r="B50" s="5" t="s">
        <v>865</v>
      </c>
      <c r="C50" s="5" t="n">
        <v>212</v>
      </c>
      <c r="D50" s="5" t="n">
        <v>211</v>
      </c>
      <c r="E50" s="6" t="n">
        <v>0.218</v>
      </c>
      <c r="F50" s="6" t="n">
        <v>0.1241</v>
      </c>
      <c r="G50" s="11" t="n">
        <v>1.347</v>
      </c>
      <c r="H50" s="12" t="n">
        <v>0.178</v>
      </c>
    </row>
    <row r="51" customFormat="false" ht="15" hidden="false" customHeight="true" outlineLevel="0" collapsed="false">
      <c r="A51" s="5" t="s">
        <v>88</v>
      </c>
      <c r="B51" s="5" t="s">
        <v>866</v>
      </c>
      <c r="C51" s="5" t="n">
        <v>19</v>
      </c>
      <c r="D51" s="5" t="n">
        <v>19</v>
      </c>
      <c r="E51" s="6" t="n">
        <v>0.182</v>
      </c>
      <c r="F51" s="6" t="n">
        <v>0.148</v>
      </c>
      <c r="G51" s="11" t="n">
        <v>0.244</v>
      </c>
      <c r="H51" s="12" t="n">
        <v>0.807</v>
      </c>
    </row>
    <row r="53" customFormat="false" ht="15" hidden="false" customHeight="true" outlineLevel="0" collapsed="false">
      <c r="A53" s="8" t="s">
        <v>875</v>
      </c>
    </row>
    <row r="54" customFormat="false" ht="15" hidden="false" customHeight="true" outlineLevel="0" collapsed="false">
      <c r="A54" s="8" t="s">
        <v>876</v>
      </c>
    </row>
    <row r="55" customFormat="false" ht="15" hidden="false" customHeight="true" outlineLevel="0" collapsed="false">
      <c r="A55" s="8" t="s">
        <v>877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2" min="2" style="1" width="10"/>
    <col collapsed="false" customWidth="true" hidden="false" outlineLevel="0" max="3" min="3" style="1" width="12"/>
    <col collapsed="false" customWidth="true" hidden="false" outlineLevel="0" max="4" min="4" style="1" width="11"/>
    <col collapsed="false" customWidth="true" hidden="false" outlineLevel="0" max="5" min="5" style="1" width="10"/>
    <col collapsed="false" customWidth="true" hidden="false" outlineLevel="0" max="6" min="6" style="1" width="11"/>
    <col collapsed="false" customWidth="true" hidden="false" outlineLevel="0" max="7" min="7" style="1" width="8"/>
    <col collapsed="false" customWidth="true" hidden="false" outlineLevel="0" max="9" min="8" style="1" width="10"/>
    <col collapsed="false" customWidth="true" hidden="false" outlineLevel="0" max="10" min="10" style="1" width="14"/>
    <col collapsed="false" customWidth="true" hidden="false" outlineLevel="0" max="12" min="11" style="1" width="11"/>
  </cols>
  <sheetData>
    <row r="1" customFormat="false" ht="31.5" hidden="false" customHeight="true" outlineLevel="0" collapsed="false">
      <c r="A1" s="4" t="s">
        <v>47</v>
      </c>
      <c r="B1" s="4" t="s">
        <v>46</v>
      </c>
      <c r="C1" s="4" t="s">
        <v>878</v>
      </c>
      <c r="D1" s="4" t="s">
        <v>879</v>
      </c>
      <c r="E1" s="4" t="s">
        <v>96</v>
      </c>
      <c r="F1" s="4" t="s">
        <v>97</v>
      </c>
      <c r="G1" s="4" t="s">
        <v>53</v>
      </c>
      <c r="H1" s="4" t="s">
        <v>54</v>
      </c>
      <c r="I1" s="4" t="s">
        <v>55</v>
      </c>
      <c r="J1" s="4" t="s">
        <v>880</v>
      </c>
      <c r="K1" s="4" t="s">
        <v>881</v>
      </c>
      <c r="L1" s="4" t="s">
        <v>152</v>
      </c>
    </row>
    <row r="2" customFormat="false" ht="15" hidden="false" customHeight="true" outlineLevel="0" collapsed="false">
      <c r="A2" s="5" t="s">
        <v>837</v>
      </c>
      <c r="B2" s="5" t="s">
        <v>836</v>
      </c>
      <c r="C2" s="5" t="n">
        <v>52</v>
      </c>
      <c r="D2" s="6" t="n">
        <v>0.120798</v>
      </c>
      <c r="E2" s="6" t="n">
        <v>0.022227</v>
      </c>
      <c r="F2" s="7" t="n">
        <v>5.49E-008</v>
      </c>
      <c r="G2" s="6" t="n">
        <f aca="false">EXP(D2)</f>
        <v>1.1283969531597</v>
      </c>
      <c r="H2" s="6" t="n">
        <f aca="false">EXP(D2-1.96*E2)</f>
        <v>1.08029384193938</v>
      </c>
      <c r="I2" s="6" t="n">
        <f aca="false">EXP(D2+1.96*E2)</f>
        <v>1.17864199023319</v>
      </c>
      <c r="J2" s="5" t="s">
        <v>882</v>
      </c>
      <c r="K2" s="10" t="n">
        <v>16.3</v>
      </c>
      <c r="L2" s="7" t="n">
        <v>0.0038</v>
      </c>
    </row>
    <row r="3" customFormat="false" ht="15" hidden="false" customHeight="true" outlineLevel="0" collapsed="false">
      <c r="A3" s="5" t="s">
        <v>837</v>
      </c>
      <c r="B3" s="5" t="s">
        <v>88</v>
      </c>
      <c r="C3" s="5" t="n">
        <v>367</v>
      </c>
      <c r="D3" s="6" t="n">
        <v>0.050437</v>
      </c>
      <c r="E3" s="6" t="n">
        <v>0.046569</v>
      </c>
      <c r="F3" s="7" t="n">
        <v>0.279</v>
      </c>
      <c r="G3" s="6" t="n">
        <f aca="false">EXP(D3)</f>
        <v>1.05173060223986</v>
      </c>
      <c r="H3" s="6" t="n">
        <f aca="false">EXP(D3-1.96*E3)</f>
        <v>0.959984404466124</v>
      </c>
      <c r="I3" s="6" t="n">
        <f aca="false">EXP(D3+1.96*E3)</f>
        <v>1.15224503079607</v>
      </c>
      <c r="J3" s="5" t="s">
        <v>883</v>
      </c>
      <c r="K3" s="10" t="n">
        <v>38.8</v>
      </c>
      <c r="L3" s="7" t="n">
        <v>0.0038</v>
      </c>
    </row>
    <row r="4" customFormat="false" ht="15" hidden="false" customHeight="true" outlineLevel="0" collapsed="false">
      <c r="A4" s="5" t="s">
        <v>884</v>
      </c>
      <c r="B4" s="5" t="s">
        <v>836</v>
      </c>
      <c r="C4" s="5" t="n">
        <v>56</v>
      </c>
      <c r="D4" s="6" t="n">
        <v>0.000994</v>
      </c>
      <c r="E4" s="6" t="n">
        <v>0.000471</v>
      </c>
      <c r="F4" s="7" t="n">
        <v>0.0347</v>
      </c>
      <c r="G4" s="6" t="s">
        <v>81</v>
      </c>
      <c r="H4" s="6" t="s">
        <v>81</v>
      </c>
      <c r="I4" s="6" t="s">
        <v>81</v>
      </c>
      <c r="J4" s="5" t="s">
        <v>885</v>
      </c>
      <c r="K4" s="10" t="n">
        <v>16.2</v>
      </c>
      <c r="L4" s="7" t="n">
        <v>0.113</v>
      </c>
    </row>
    <row r="5" customFormat="false" ht="15" hidden="false" customHeight="true" outlineLevel="0" collapsed="false">
      <c r="A5" s="5" t="s">
        <v>884</v>
      </c>
      <c r="B5" s="5" t="s">
        <v>88</v>
      </c>
      <c r="C5" s="5" t="n">
        <v>381</v>
      </c>
      <c r="D5" s="6" t="n">
        <v>0.000565</v>
      </c>
      <c r="E5" s="6" t="n">
        <v>0.001076</v>
      </c>
      <c r="F5" s="7" t="n">
        <v>0.6</v>
      </c>
      <c r="G5" s="6" t="s">
        <v>81</v>
      </c>
      <c r="H5" s="6" t="s">
        <v>81</v>
      </c>
      <c r="I5" s="6" t="s">
        <v>81</v>
      </c>
      <c r="J5" s="5" t="s">
        <v>885</v>
      </c>
      <c r="K5" s="10" t="n">
        <v>38.2</v>
      </c>
      <c r="L5" s="7" t="n">
        <v>0.113</v>
      </c>
    </row>
    <row r="6" customFormat="false" ht="15" hidden="false" customHeight="true" outlineLevel="0" collapsed="false">
      <c r="A6" s="5" t="s">
        <v>844</v>
      </c>
      <c r="B6" s="5" t="s">
        <v>836</v>
      </c>
      <c r="C6" s="5" t="n">
        <v>56</v>
      </c>
      <c r="D6" s="6" t="n">
        <v>0.072606</v>
      </c>
      <c r="E6" s="6" t="n">
        <v>0.021686</v>
      </c>
      <c r="F6" s="7" t="n">
        <v>0.000814</v>
      </c>
      <c r="G6" s="6" t="n">
        <f aca="false">EXP(D6)</f>
        <v>1.07530678256825</v>
      </c>
      <c r="H6" s="6" t="n">
        <f aca="false">EXP(D6-1.96*E6)</f>
        <v>1.03055906856335</v>
      </c>
      <c r="I6" s="6" t="n">
        <f aca="false">EXP(D6+1.96*E6)</f>
        <v>1.12199747875607</v>
      </c>
      <c r="J6" s="5" t="s">
        <v>886</v>
      </c>
      <c r="K6" s="10" t="n">
        <v>16.3</v>
      </c>
      <c r="L6" s="7" t="n">
        <v>0.00043</v>
      </c>
    </row>
    <row r="7" customFormat="false" ht="15" hidden="false" customHeight="true" outlineLevel="0" collapsed="false">
      <c r="A7" s="5" t="s">
        <v>844</v>
      </c>
      <c r="B7" s="5" t="s">
        <v>88</v>
      </c>
      <c r="C7" s="5" t="n">
        <v>378</v>
      </c>
      <c r="D7" s="6" t="n">
        <v>0.066428</v>
      </c>
      <c r="E7" s="6" t="n">
        <v>0.049158</v>
      </c>
      <c r="F7" s="7" t="n">
        <v>0.177</v>
      </c>
      <c r="G7" s="6" t="n">
        <f aca="false">EXP(D7)</f>
        <v>1.06868401605592</v>
      </c>
      <c r="H7" s="6" t="n">
        <f aca="false">EXP(D7-1.96*E7)</f>
        <v>0.970521541819141</v>
      </c>
      <c r="I7" s="6" t="n">
        <f aca="false">EXP(D7+1.96*E7)</f>
        <v>1.17677503997768</v>
      </c>
      <c r="J7" s="5" t="s">
        <v>887</v>
      </c>
      <c r="K7" s="10" t="n">
        <v>38.4</v>
      </c>
      <c r="L7" s="7" t="n">
        <v>0.00043</v>
      </c>
    </row>
    <row r="8" customFormat="false" ht="15" hidden="false" customHeight="true" outlineLevel="0" collapsed="false">
      <c r="A8" s="5" t="s">
        <v>845</v>
      </c>
      <c r="B8" s="5" t="s">
        <v>836</v>
      </c>
      <c r="C8" s="5" t="n">
        <v>56</v>
      </c>
      <c r="D8" s="6" t="n">
        <v>0.087454</v>
      </c>
      <c r="E8" s="6" t="n">
        <v>0.012984</v>
      </c>
      <c r="F8" s="7" t="n">
        <v>1.63E-011</v>
      </c>
      <c r="G8" s="6" t="n">
        <f aca="false">EXP(D8)</f>
        <v>1.09139205925352</v>
      </c>
      <c r="H8" s="6" t="n">
        <f aca="false">EXP(D8-1.96*E8)</f>
        <v>1.06396804758149</v>
      </c>
      <c r="I8" s="6" t="n">
        <f aca="false">EXP(D8+1.96*E8)</f>
        <v>1.1195229308899</v>
      </c>
      <c r="J8" s="5" t="s">
        <v>888</v>
      </c>
      <c r="K8" s="10" t="n">
        <v>16.3</v>
      </c>
      <c r="L8" s="7" t="n">
        <v>3.6E-008</v>
      </c>
    </row>
    <row r="9" customFormat="false" ht="15" hidden="false" customHeight="true" outlineLevel="0" collapsed="false">
      <c r="A9" s="5" t="s">
        <v>845</v>
      </c>
      <c r="B9" s="5" t="s">
        <v>88</v>
      </c>
      <c r="C9" s="5" t="n">
        <v>379</v>
      </c>
      <c r="D9" s="6" t="n">
        <v>0.098582</v>
      </c>
      <c r="E9" s="6" t="n">
        <v>0.028883</v>
      </c>
      <c r="F9" s="7" t="n">
        <v>0.000642</v>
      </c>
      <c r="G9" s="6" t="n">
        <f aca="false">EXP(D9)</f>
        <v>1.10360489628567</v>
      </c>
      <c r="H9" s="6" t="n">
        <f aca="false">EXP(D9-1.96*E9)</f>
        <v>1.04286456896602</v>
      </c>
      <c r="I9" s="6" t="n">
        <f aca="false">EXP(D9+1.96*E9)</f>
        <v>1.16788296711745</v>
      </c>
      <c r="J9" s="5" t="s">
        <v>889</v>
      </c>
      <c r="K9" s="10" t="n">
        <v>38.3</v>
      </c>
      <c r="L9" s="7" t="n">
        <v>3.6E-008</v>
      </c>
    </row>
    <row r="11" customFormat="false" ht="15" hidden="false" customHeight="true" outlineLevel="0" collapsed="false">
      <c r="A11" s="8" t="s">
        <v>890</v>
      </c>
    </row>
    <row r="12" customFormat="false" ht="15" hidden="false" customHeight="true" outlineLevel="0" collapsed="false">
      <c r="A12" s="8" t="s">
        <v>891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2" min="2" style="1" width="30"/>
    <col collapsed="false" customWidth="true" hidden="false" outlineLevel="0" max="3" min="3" style="1" width="8"/>
    <col collapsed="false" customWidth="true" hidden="false" outlineLevel="0" max="5" min="4" style="1" width="10"/>
    <col collapsed="false" customWidth="true" hidden="false" outlineLevel="0" max="6" min="6" style="1" width="11"/>
    <col collapsed="false" customWidth="true" hidden="false" outlineLevel="0" max="7" min="7" style="1" width="8"/>
    <col collapsed="false" customWidth="true" hidden="false" outlineLevel="0" max="10" min="8" style="1" width="10"/>
    <col collapsed="false" customWidth="true" hidden="false" outlineLevel="0" max="11" min="11" style="1" width="12"/>
    <col collapsed="false" customWidth="true" hidden="false" outlineLevel="0" max="12" min="12" style="1" width="9"/>
  </cols>
  <sheetData>
    <row r="1" customFormat="false" ht="31.5" hidden="false" customHeight="true" outlineLevel="0" collapsed="false">
      <c r="A1" s="4" t="s">
        <v>892</v>
      </c>
      <c r="B1" s="4" t="s">
        <v>94</v>
      </c>
      <c r="C1" s="4" t="s">
        <v>860</v>
      </c>
      <c r="D1" s="4" t="s">
        <v>95</v>
      </c>
      <c r="E1" s="4" t="s">
        <v>96</v>
      </c>
      <c r="F1" s="4" t="s">
        <v>97</v>
      </c>
      <c r="G1" s="4" t="s">
        <v>53</v>
      </c>
      <c r="H1" s="4" t="s">
        <v>54</v>
      </c>
      <c r="I1" s="4" t="s">
        <v>55</v>
      </c>
      <c r="J1" s="4" t="s">
        <v>893</v>
      </c>
      <c r="K1" s="4" t="s">
        <v>137</v>
      </c>
      <c r="L1" s="4" t="s">
        <v>894</v>
      </c>
    </row>
    <row r="2" customFormat="false" ht="15" hidden="false" customHeight="true" outlineLevel="0" collapsed="false">
      <c r="A2" s="5" t="s">
        <v>895</v>
      </c>
      <c r="B2" s="5" t="s">
        <v>100</v>
      </c>
      <c r="C2" s="5" t="n">
        <v>81</v>
      </c>
      <c r="D2" s="6" t="n">
        <v>0.193</v>
      </c>
      <c r="E2" s="6" t="n">
        <v>0.0156</v>
      </c>
      <c r="F2" s="7" t="n">
        <v>4.73E-035</v>
      </c>
      <c r="G2" s="6" t="n">
        <f aca="false">EXP(D2)</f>
        <v>1.21288279351912</v>
      </c>
      <c r="H2" s="6" t="n">
        <f aca="false">EXP(D2-1.96*E2)</f>
        <v>1.17635891177399</v>
      </c>
      <c r="I2" s="6" t="n">
        <f aca="false">EXP(D2+1.96*E2)</f>
        <v>1.2505406777565</v>
      </c>
      <c r="J2" s="12" t="n">
        <v>0.209</v>
      </c>
      <c r="K2" s="12" t="n">
        <v>0.6504</v>
      </c>
      <c r="L2" s="10" t="n">
        <v>75.4</v>
      </c>
    </row>
    <row r="3" customFormat="false" ht="15" hidden="false" customHeight="true" outlineLevel="0" collapsed="false">
      <c r="A3" s="5" t="s">
        <v>895</v>
      </c>
      <c r="B3" s="5" t="s">
        <v>112</v>
      </c>
      <c r="C3" s="5" t="n">
        <v>81</v>
      </c>
      <c r="D3" s="6" t="n">
        <v>0.158</v>
      </c>
      <c r="E3" s="6" t="n">
        <v>0.0249</v>
      </c>
      <c r="F3" s="7" t="n">
        <v>2.03E-010</v>
      </c>
      <c r="G3" s="6" t="n">
        <f aca="false">EXP(D3)</f>
        <v>1.17116619470767</v>
      </c>
      <c r="H3" s="6" t="n">
        <f aca="false">EXP(D3-1.96*E3)</f>
        <v>1.11538094358355</v>
      </c>
      <c r="I3" s="6" t="n">
        <f aca="false">EXP(D3+1.96*E3)</f>
        <v>1.22974151882065</v>
      </c>
      <c r="J3" s="12" t="n">
        <v>0.209</v>
      </c>
      <c r="K3" s="12" t="n">
        <v>0.6504</v>
      </c>
      <c r="L3" s="10" t="n">
        <v>75.4</v>
      </c>
    </row>
    <row r="4" customFormat="false" ht="15" hidden="false" customHeight="true" outlineLevel="0" collapsed="false">
      <c r="A4" s="5" t="s">
        <v>895</v>
      </c>
      <c r="B4" s="5" t="s">
        <v>108</v>
      </c>
      <c r="C4" s="5" t="n">
        <v>81</v>
      </c>
      <c r="D4" s="6" t="n">
        <v>0.207</v>
      </c>
      <c r="E4" s="6" t="n">
        <v>0.035</v>
      </c>
      <c r="F4" s="7" t="n">
        <v>8.27E-008</v>
      </c>
      <c r="G4" s="6" t="n">
        <f aca="false">EXP(D4)</f>
        <v>1.22998257178075</v>
      </c>
      <c r="H4" s="6" t="n">
        <f aca="false">EXP(D4-1.96*E4)</f>
        <v>1.14843483234458</v>
      </c>
      <c r="I4" s="6" t="n">
        <f aca="false">EXP(D4+1.96*E4)</f>
        <v>1.31732083029547</v>
      </c>
      <c r="J4" s="12" t="n">
        <v>0.209</v>
      </c>
      <c r="K4" s="12" t="n">
        <v>0.6504</v>
      </c>
      <c r="L4" s="10" t="n">
        <v>75.4</v>
      </c>
    </row>
    <row r="5" customFormat="false" ht="15" hidden="false" customHeight="true" outlineLevel="0" collapsed="false">
      <c r="A5" s="5" t="s">
        <v>895</v>
      </c>
      <c r="B5" s="5" t="s">
        <v>117</v>
      </c>
      <c r="C5" s="5" t="n">
        <v>81</v>
      </c>
      <c r="D5" s="6" t="n">
        <v>0.154</v>
      </c>
      <c r="E5" s="6" t="n">
        <v>0.0319</v>
      </c>
      <c r="F5" s="7" t="n">
        <v>6.67E-006</v>
      </c>
      <c r="G5" s="6" t="n">
        <f aca="false">EXP(D5)</f>
        <v>1.16649088677844</v>
      </c>
      <c r="H5" s="6" t="n">
        <f aca="false">EXP(D5-1.96*E5)</f>
        <v>1.09579047740549</v>
      </c>
      <c r="I5" s="6" t="n">
        <f aca="false">EXP(D5+1.96*E5)</f>
        <v>1.2417528870655</v>
      </c>
      <c r="J5" s="12" t="n">
        <v>0.209</v>
      </c>
      <c r="K5" s="12" t="n">
        <v>0.6504</v>
      </c>
      <c r="L5" s="10" t="n">
        <v>75.4</v>
      </c>
    </row>
    <row r="6" customFormat="false" ht="15" hidden="false" customHeight="true" outlineLevel="0" collapsed="false">
      <c r="A6" s="5" t="s">
        <v>895</v>
      </c>
      <c r="B6" s="5" t="s">
        <v>869</v>
      </c>
      <c r="C6" s="5" t="n">
        <v>81</v>
      </c>
      <c r="D6" s="6" t="n">
        <v>0.194</v>
      </c>
      <c r="E6" s="6" t="n">
        <v>0.0161</v>
      </c>
      <c r="F6" s="7" t="n">
        <v>1.93E-033</v>
      </c>
      <c r="G6" s="6" t="n">
        <f aca="false">EXP(D6)</f>
        <v>1.21409628295623</v>
      </c>
      <c r="H6" s="6" t="n">
        <f aca="false">EXP(D6-1.96*E6)</f>
        <v>1.17638243918749</v>
      </c>
      <c r="I6" s="6" t="n">
        <f aca="false">EXP(D6+1.96*E6)</f>
        <v>1.25301920122696</v>
      </c>
      <c r="J6" s="12" t="n">
        <v>0.209</v>
      </c>
      <c r="K6" s="12" t="n">
        <v>0.6504</v>
      </c>
      <c r="L6" s="10" t="n">
        <v>75.4</v>
      </c>
    </row>
    <row r="7" customFormat="false" ht="15" hidden="false" customHeight="true" outlineLevel="0" collapsed="false">
      <c r="A7" s="5" t="s">
        <v>896</v>
      </c>
      <c r="B7" s="5" t="s">
        <v>100</v>
      </c>
      <c r="C7" s="5" t="n">
        <v>148</v>
      </c>
      <c r="D7" s="6" t="n">
        <v>0.176</v>
      </c>
      <c r="E7" s="6" t="n">
        <v>0.014</v>
      </c>
      <c r="F7" s="7" t="n">
        <v>1.24E-036</v>
      </c>
      <c r="G7" s="6" t="n">
        <f aca="false">EXP(D7)</f>
        <v>1.19243805865067</v>
      </c>
      <c r="H7" s="6" t="n">
        <f aca="false">EXP(D7-1.96*E7)</f>
        <v>1.1601624054305</v>
      </c>
      <c r="I7" s="6" t="n">
        <f aca="false">EXP(D7+1.96*E7)</f>
        <v>1.22561161873794</v>
      </c>
      <c r="J7" s="12" t="n">
        <v>0.141</v>
      </c>
      <c r="K7" s="12" t="n">
        <v>0.0414</v>
      </c>
      <c r="L7" s="10" t="n">
        <v>88.2</v>
      </c>
    </row>
    <row r="8" customFormat="false" ht="15" hidden="false" customHeight="true" outlineLevel="0" collapsed="false">
      <c r="A8" s="5" t="s">
        <v>896</v>
      </c>
      <c r="B8" s="5" t="s">
        <v>112</v>
      </c>
      <c r="C8" s="5" t="n">
        <v>148</v>
      </c>
      <c r="D8" s="6" t="n">
        <v>0.166</v>
      </c>
      <c r="E8" s="6" t="n">
        <v>0.0229</v>
      </c>
      <c r="F8" s="7" t="n">
        <v>4.14E-013</v>
      </c>
      <c r="G8" s="6" t="n">
        <f aca="false">EXP(D8)</f>
        <v>1.18057310172328</v>
      </c>
      <c r="H8" s="6" t="n">
        <f aca="false">EXP(D8-1.96*E8)</f>
        <v>1.12875584045086</v>
      </c>
      <c r="I8" s="6" t="n">
        <f aca="false">EXP(D8+1.96*E8)</f>
        <v>1.23476911353638</v>
      </c>
      <c r="J8" s="12" t="n">
        <v>0.141</v>
      </c>
      <c r="K8" s="12" t="n">
        <v>0.0414</v>
      </c>
      <c r="L8" s="10" t="n">
        <v>88.2</v>
      </c>
    </row>
    <row r="9" customFormat="false" ht="15" hidden="false" customHeight="true" outlineLevel="0" collapsed="false">
      <c r="A9" s="5" t="s">
        <v>896</v>
      </c>
      <c r="B9" s="5" t="s">
        <v>108</v>
      </c>
      <c r="C9" s="5" t="n">
        <v>148</v>
      </c>
      <c r="D9" s="6" t="n">
        <v>0.226</v>
      </c>
      <c r="E9" s="6" t="n">
        <v>0.0279</v>
      </c>
      <c r="F9" s="7" t="n">
        <v>1.92E-013</v>
      </c>
      <c r="G9" s="6" t="n">
        <f aca="false">EXP(D9)</f>
        <v>1.25357566527819</v>
      </c>
      <c r="H9" s="6" t="n">
        <f aca="false">EXP(D9-1.96*E9)</f>
        <v>1.18686573934375</v>
      </c>
      <c r="I9" s="6" t="n">
        <f aca="false">EXP(D9+1.96*E9)</f>
        <v>1.32403514271677</v>
      </c>
      <c r="J9" s="12" t="n">
        <v>0.141</v>
      </c>
      <c r="K9" s="12" t="n">
        <v>0.0414</v>
      </c>
      <c r="L9" s="10" t="n">
        <v>88.2</v>
      </c>
    </row>
    <row r="10" customFormat="false" ht="15" hidden="false" customHeight="true" outlineLevel="0" collapsed="false">
      <c r="A10" s="5" t="s">
        <v>896</v>
      </c>
      <c r="B10" s="5" t="s">
        <v>117</v>
      </c>
      <c r="C10" s="5" t="n">
        <v>148</v>
      </c>
      <c r="D10" s="6" t="n">
        <v>0.165</v>
      </c>
      <c r="E10" s="6" t="n">
        <v>0.0297</v>
      </c>
      <c r="F10" s="7" t="n">
        <v>1.18E-007</v>
      </c>
      <c r="G10" s="6" t="n">
        <f aca="false">EXP(D10)</f>
        <v>1.17939311871139</v>
      </c>
      <c r="H10" s="6" t="n">
        <f aca="false">EXP(D10-1.96*E10)</f>
        <v>1.11269833742547</v>
      </c>
      <c r="I10" s="6" t="n">
        <f aca="false">EXP(D10+1.96*E10)</f>
        <v>1.25008556378557</v>
      </c>
      <c r="J10" s="12" t="n">
        <v>0.141</v>
      </c>
      <c r="K10" s="12" t="n">
        <v>0.0414</v>
      </c>
      <c r="L10" s="10" t="n">
        <v>88.2</v>
      </c>
    </row>
    <row r="11" customFormat="false" ht="15" hidden="false" customHeight="true" outlineLevel="0" collapsed="false">
      <c r="A11" s="5" t="s">
        <v>896</v>
      </c>
      <c r="B11" s="5" t="s">
        <v>869</v>
      </c>
      <c r="C11" s="5" t="n">
        <v>148</v>
      </c>
      <c r="D11" s="6" t="n">
        <v>0.178</v>
      </c>
      <c r="E11" s="6" t="n">
        <v>0.0144</v>
      </c>
      <c r="F11" s="7" t="n">
        <v>2.83E-035</v>
      </c>
      <c r="G11" s="6" t="n">
        <f aca="false">EXP(D11)</f>
        <v>1.1948253212348</v>
      </c>
      <c r="H11" s="6" t="n">
        <f aca="false">EXP(D11-1.96*E11)</f>
        <v>1.16157402100383</v>
      </c>
      <c r="I11" s="6" t="n">
        <f aca="false">EXP(D11+1.96*E11)</f>
        <v>1.22902847554227</v>
      </c>
      <c r="J11" s="12" t="n">
        <v>0.141</v>
      </c>
      <c r="K11" s="12" t="n">
        <v>0.0414</v>
      </c>
      <c r="L11" s="10" t="n">
        <v>88.2</v>
      </c>
    </row>
    <row r="13" customFormat="false" ht="15" hidden="false" customHeight="true" outlineLevel="0" collapsed="false">
      <c r="A13" s="2" t="s">
        <v>897</v>
      </c>
    </row>
    <row r="14" customFormat="false" ht="31.5" hidden="false" customHeight="true" outlineLevel="0" collapsed="false">
      <c r="A14" s="4" t="s">
        <v>859</v>
      </c>
      <c r="B14" s="4" t="s">
        <v>860</v>
      </c>
      <c r="C14" s="4" t="s">
        <v>898</v>
      </c>
      <c r="D14" s="4" t="s">
        <v>96</v>
      </c>
      <c r="E14" s="4" t="s">
        <v>899</v>
      </c>
      <c r="F14" s="4" t="s">
        <v>96</v>
      </c>
      <c r="G14" s="4" t="s">
        <v>816</v>
      </c>
      <c r="H14" s="4" t="s">
        <v>818</v>
      </c>
      <c r="I14" s="4" t="s">
        <v>97</v>
      </c>
    </row>
    <row r="15" customFormat="false" ht="15" hidden="false" customHeight="true" outlineLevel="0" collapsed="false">
      <c r="A15" s="5" t="s">
        <v>900</v>
      </c>
      <c r="B15" s="5" t="n">
        <v>106</v>
      </c>
      <c r="C15" s="6" t="n">
        <v>0.1335</v>
      </c>
      <c r="D15" s="6" t="n">
        <v>0.0212</v>
      </c>
      <c r="E15" s="6" t="n">
        <v>0.0858</v>
      </c>
      <c r="F15" s="6" t="n">
        <v>0.0232</v>
      </c>
      <c r="G15" s="6" t="n">
        <f aca="false">C15-E15</f>
        <v>0.0477</v>
      </c>
      <c r="H15" s="11" t="n">
        <f aca="false">G15/SQRT(D15^2+F15^2)</f>
        <v>1.5177849747405</v>
      </c>
      <c r="I15" s="9" t="n">
        <f aca="false">2*(1-NORMSDIST(ABS(H15)))</f>
        <v>0.12906861408419</v>
      </c>
    </row>
    <row r="16" customFormat="false" ht="15" hidden="false" customHeight="true" outlineLevel="0" collapsed="false">
      <c r="A16" s="5" t="s">
        <v>901</v>
      </c>
      <c r="B16" s="5" t="n">
        <v>40</v>
      </c>
      <c r="C16" s="6" t="n">
        <v>0.1833</v>
      </c>
      <c r="D16" s="6" t="n">
        <v>0.0241</v>
      </c>
      <c r="E16" s="6" t="n">
        <v>0.0858</v>
      </c>
      <c r="F16" s="6" t="n">
        <v>0.0232</v>
      </c>
      <c r="G16" s="6" t="n">
        <f aca="false">C16-E16</f>
        <v>0.0975</v>
      </c>
      <c r="H16" s="11" t="n">
        <f aca="false">G16/SQRT(D16^2+F16^2)</f>
        <v>2.91460610275114</v>
      </c>
      <c r="I16" s="9" t="n">
        <f aca="false">2*(1-NORMSDIST(ABS(H16)))</f>
        <v>0.0035613772568055</v>
      </c>
    </row>
    <row r="17" customFormat="false" ht="15" hidden="false" customHeight="true" outlineLevel="0" collapsed="false">
      <c r="A17" s="5" t="s">
        <v>902</v>
      </c>
      <c r="B17" s="5" t="n">
        <v>40</v>
      </c>
      <c r="C17" s="6" t="n">
        <v>0.168</v>
      </c>
      <c r="D17" s="6" t="n">
        <v>0.0195</v>
      </c>
      <c r="E17" s="6" t="n">
        <v>0.0858</v>
      </c>
      <c r="F17" s="6" t="n">
        <v>0.0232</v>
      </c>
      <c r="G17" s="6" t="n">
        <f aca="false">C17-E17</f>
        <v>0.0822</v>
      </c>
      <c r="H17" s="11" t="n">
        <f aca="false">G17/SQRT(D17^2+F17^2)</f>
        <v>2.71228049861418</v>
      </c>
      <c r="I17" s="9" t="n">
        <f aca="false">2*(1-NORMSDIST(ABS(H17)))</f>
        <v>0.00668220210510495</v>
      </c>
    </row>
    <row r="18" customFormat="false" ht="15" hidden="false" customHeight="true" outlineLevel="0" collapsed="false">
      <c r="A18" s="5" t="s">
        <v>903</v>
      </c>
      <c r="B18" s="5" t="n">
        <v>81</v>
      </c>
      <c r="C18" s="6" t="n">
        <v>0.193</v>
      </c>
      <c r="D18" s="6" t="n">
        <v>0.0156</v>
      </c>
      <c r="E18" s="6" t="n">
        <v>0.0858</v>
      </c>
      <c r="F18" s="6" t="n">
        <v>0.0232</v>
      </c>
      <c r="G18" s="6" t="n">
        <f aca="false">C18-E18</f>
        <v>0.1072</v>
      </c>
      <c r="H18" s="11" t="n">
        <f aca="false">G18/SQRT(D18^2+F18^2)</f>
        <v>3.83444497551014</v>
      </c>
      <c r="I18" s="9" t="n">
        <f aca="false">2*(1-NORMSDIST(ABS(H18)))</f>
        <v>0.000125848139379325</v>
      </c>
    </row>
    <row r="19" customFormat="false" ht="15" hidden="false" customHeight="true" outlineLevel="0" collapsed="false">
      <c r="A19" s="5" t="s">
        <v>904</v>
      </c>
      <c r="B19" s="5" t="n">
        <v>148</v>
      </c>
      <c r="C19" s="6" t="n">
        <v>0.176</v>
      </c>
      <c r="D19" s="6" t="n">
        <v>0.014</v>
      </c>
      <c r="E19" s="6" t="n">
        <v>0.0858</v>
      </c>
      <c r="F19" s="6" t="n">
        <v>0.0232</v>
      </c>
      <c r="G19" s="6" t="n">
        <f aca="false">C19-E19</f>
        <v>0.0902</v>
      </c>
      <c r="H19" s="11" t="n">
        <f aca="false">G19/SQRT(D19^2+F19^2)</f>
        <v>3.32879857879818</v>
      </c>
      <c r="I19" s="9" t="n">
        <f aca="false">2*(1-NORMSDIST(ABS(H19)))</f>
        <v>0.000872214584021647</v>
      </c>
    </row>
    <row r="21" customFormat="false" ht="15" hidden="false" customHeight="true" outlineLevel="0" collapsed="false">
      <c r="A21" s="8" t="s">
        <v>905</v>
      </c>
    </row>
    <row r="22" customFormat="false" ht="15" hidden="false" customHeight="true" outlineLevel="0" collapsed="false">
      <c r="A22" s="8" t="s">
        <v>906</v>
      </c>
    </row>
    <row r="23" customFormat="false" ht="15" hidden="false" customHeight="true" outlineLevel="0" collapsed="false">
      <c r="A23" s="8" t="s">
        <v>907</v>
      </c>
    </row>
    <row r="24" customFormat="false" ht="15" hidden="false" customHeight="true" outlineLevel="0" collapsed="false">
      <c r="A24" s="8" t="s">
        <v>908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2026-09-23T04:32:52Z</dcterms:created>
  <dc:creator>openpyxl</dc:creator>
  <dc:description/>
  <dc:language>en-US</dc:language>
  <cp:lastModifiedBy/>
  <dcterms:modified xsi:type="dcterms:W3CDTF">2026-10-06T22:57:05Z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